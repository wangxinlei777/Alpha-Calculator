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SRC\Desktop\项目\积分系统_v2\"/>
    </mc:Choice>
  </mc:AlternateContent>
  <bookViews>
    <workbookView windowWidth="21550" windowHeight="10080"/>
  </bookViews>
  <sheets>
    <sheet name="红色系统输入黄色人工调整" sheetId="1" r:id="rId1"/>
    <sheet name="所选品规列表" sheetId="2" r:id="rId2"/>
  </sheets>
  <definedNames>
    <definedName name="_xlnm._FilterDatabase" localSheetId="0" hidden="1">红色系统输入黄色人工调整!$A$4:$K$9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<sst xmlns="http://schemas.openxmlformats.org/spreadsheetml/2006/main" count="68" uniqueCount="58">
  <si>
    <t>品规属性</t>
  </si>
  <si>
    <t>盈利健康度因子</t>
  </si>
  <si>
    <t>预订活跃度因子</t>
  </si>
  <si>
    <t>库存健康因子</t>
  </si>
  <si>
    <t>品牌属性因子</t>
  </si>
  <si>
    <t>货源量合计</t>
  </si>
  <si>
    <t>辖区标准差</t>
  </si>
  <si>
    <t>均值</t>
  </si>
  <si>
    <t>代码</t>
  </si>
  <si>
    <t>选品列表</t>
  </si>
  <si>
    <t>卷烟规格</t>
  </si>
  <si>
    <t>批发价</t>
  </si>
  <si>
    <t>平均市场价</t>
  </si>
  <si>
    <t>属性</t>
  </si>
  <si>
    <t>单条盈利</t>
  </si>
  <si>
    <t>预订率R</t>
  </si>
  <si>
    <t>存销比T</t>
  </si>
  <si>
    <t>Bbase</t>
  </si>
  <si>
    <t>Bgoal</t>
  </si>
  <si>
    <t>上半年箱数</t>
  </si>
  <si>
    <t>箱条数</t>
  </si>
  <si>
    <t>上半年条数</t>
  </si>
  <si>
    <t>11010803</t>
  </si>
  <si>
    <t>中南海(金8mg)</t>
  </si>
  <si>
    <t>紧俏烟</t>
  </si>
  <si>
    <t>12010601</t>
  </si>
  <si>
    <t>大前门(软)</t>
  </si>
  <si>
    <t>12011119</t>
  </si>
  <si>
    <t>恒大(烟魁1949中支)</t>
  </si>
  <si>
    <t>均衡满足</t>
  </si>
  <si>
    <t>22240217</t>
  </si>
  <si>
    <t>长白山(蓝尚)</t>
  </si>
  <si>
    <t>完全满足</t>
  </si>
  <si>
    <t>31010702</t>
  </si>
  <si>
    <t>中华(软)</t>
  </si>
  <si>
    <t>13070217</t>
  </si>
  <si>
    <t>钻石(荷花)</t>
  </si>
  <si>
    <t>按需预订参数设定</t>
  </si>
  <si>
    <t>积分池情况</t>
  </si>
  <si>
    <t>基准积分</t>
  </si>
  <si>
    <t>分值</t>
  </si>
  <si>
    <t>权重</t>
  </si>
  <si>
    <t>选品预订积分</t>
  </si>
  <si>
    <t>选品销售积分</t>
  </si>
  <si>
    <t>总积分数</t>
  </si>
  <si>
    <t>预订基准积分</t>
  </si>
  <si>
    <t>预订权重指数</t>
  </si>
  <si>
    <t>销售基准积分</t>
  </si>
  <si>
    <t>销售权重指数</t>
  </si>
  <si>
    <t>按需预订品规列表</t>
  </si>
  <si>
    <t>编码</t>
  </si>
  <si>
    <t>名称</t>
  </si>
  <si>
    <t>市场价</t>
  </si>
  <si>
    <t>预订积分</t>
  </si>
  <si>
    <t>销售积分</t>
  </si>
  <si>
    <t>积分数</t>
  </si>
  <si>
    <t>总预订积分数</t>
  </si>
  <si>
    <t>总消费积分数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</si>
</sst>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  <numFmt numFmtId="178" formatCode="0.0_ ;[Red]\-0.0\ "/>
  </numFmts>
  <fonts count="31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000000"/>
      <name val="Microsoft YaHei"/>
      <charset val="134"/>
    </font>
    <font>
      <b/>
      <sz val="16"/>
      <color theme="4"/>
      <name val="Microsoft YaHei"/>
      <charset val="134"/>
    </font>
    <font>
      <b/>
      <sz val="11"/>
      <color rgb="FF08090C"/>
      <name val="Microsoft YaHei"/>
      <charset val="134"/>
    </font>
    <font>
      <b/>
      <sz val="11"/>
      <name val="Microsoft YaHei"/>
      <charset val="134"/>
    </font>
    <font>
      <sz val="11"/>
      <name val="宋体"/>
      <charset val="134"/>
      <scheme val="minor"/>
    </font>
    <font>
      <sz val="10"/>
      <name val="Microsoft YaHei"/>
      <charset val="134"/>
    </font>
    <font>
      <sz val="11"/>
      <name val="Microsoft YaHei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theme="4"/>
      </left>
      <right style="thin">
        <color rgb="FFFFFFFF"/>
      </right>
      <top style="thin">
        <color theme="4"/>
      </top>
      <bottom style="thin">
        <color theme="4" tint="0.659993285927915"/>
      </bottom>
      <diagonal/>
    </border>
    <border>
      <left style="thin">
        <color rgb="FFFFFFFF"/>
      </left>
      <right style="thin">
        <color rgb="FFFFFFFF"/>
      </right>
      <top style="thin">
        <color theme="4"/>
      </top>
      <bottom style="thin">
        <color theme="4" tint="0.659993285927915"/>
      </bottom>
      <diagonal/>
    </border>
    <border>
      <left style="thin">
        <color rgb="FFFFFFFF"/>
      </left>
      <right style="thin">
        <color theme="4"/>
      </right>
      <top style="thin">
        <color theme="4"/>
      </top>
      <bottom style="thin">
        <color theme="4" tint="0.659993285927915"/>
      </bottom>
      <diagonal/>
    </border>
    <border>
      <left style="thin">
        <color theme="4"/>
      </left>
      <right style="thin">
        <color theme="4" tint="0.659993285927915"/>
      </right>
      <top/>
      <bottom style="thin">
        <color theme="4" tint="0.659993285927915"/>
      </bottom>
      <diagonal/>
    </border>
    <border>
      <left style="thin">
        <color theme="4" tint="0.659993285927915"/>
      </left>
      <right style="thin">
        <color theme="4" tint="0.659993285927915"/>
      </right>
      <top/>
      <bottom style="thin">
        <color theme="4" tint="0.659993285927915"/>
      </bottom>
      <diagonal/>
    </border>
    <border>
      <left style="thin">
        <color theme="4" tint="0.659993285927915"/>
      </left>
      <right style="thin">
        <color theme="4"/>
      </right>
      <top/>
      <bottom style="thin">
        <color theme="4" tint="0.659993285927915"/>
      </bottom>
      <diagonal/>
    </border>
    <border>
      <left style="thin">
        <color theme="4"/>
      </left>
      <right style="thin">
        <color theme="4" tint="0.659993285927915"/>
      </right>
      <top/>
      <bottom style="thin">
        <color theme="4"/>
      </bottom>
      <diagonal/>
    </border>
    <border>
      <left style="thin">
        <color theme="4" tint="0.659993285927915"/>
      </left>
      <right style="thin">
        <color theme="4" tint="0.659993285927915"/>
      </right>
      <top/>
      <bottom style="thin">
        <color theme="4"/>
      </bottom>
      <diagonal/>
    </border>
    <border>
      <left style="thin">
        <color theme="4" tint="0.659993285927915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 tint="0.659993285927915"/>
      </right>
      <top style="thin">
        <color theme="4" tint="0.659993285927915"/>
      </top>
      <bottom style="thin">
        <color theme="4"/>
      </bottom>
      <diagonal/>
    </border>
    <border>
      <left style="thin">
        <color theme="4" tint="0.659993285927915"/>
      </left>
      <right style="thin">
        <color theme="4" tint="0.659993285927915"/>
      </right>
      <top style="thin">
        <color theme="4" tint="0.659993285927915"/>
      </top>
      <bottom style="thin">
        <color theme="4"/>
      </bottom>
      <diagonal/>
    </border>
    <border>
      <left style="thin">
        <color theme="4" tint="0.659993285927915"/>
      </left>
      <right style="thin">
        <color theme="4"/>
      </right>
      <top style="thin">
        <color theme="4" tint="0.659993285927915"/>
      </top>
      <bottom style="thin">
        <color theme="4"/>
      </bottom>
      <diagonal/>
    </border>
    <border>
      <left style="thin">
        <color theme="4"/>
      </left>
      <right style="thin">
        <color theme="4" tint="0.659993285927915"/>
      </right>
      <top style="thin">
        <color theme="4" tint="0.659993285927915"/>
      </top>
      <bottom style="thin">
        <color theme="4" tint="0.659993285927915"/>
      </bottom>
      <diagonal/>
    </border>
    <border>
      <left style="thin">
        <color theme="4" tint="0.659993285927915"/>
      </left>
      <right style="thin">
        <color theme="4" tint="0.659993285927915"/>
      </right>
      <top style="thin">
        <color theme="4" tint="0.659993285927915"/>
      </top>
      <bottom style="thin">
        <color theme="4" tint="0.659993285927915"/>
      </bottom>
      <diagonal/>
    </border>
    <border>
      <left style="thin">
        <color theme="4" tint="0.659993285927915"/>
      </left>
      <right style="thin">
        <color theme="4"/>
      </right>
      <top style="thin">
        <color theme="4" tint="0.659993285927915"/>
      </top>
      <bottom style="thin">
        <color theme="4" tint="0.65999328592791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0" applyNumberFormat="0" applyAlignment="0" applyProtection="0">
      <alignment vertical="center"/>
    </xf>
    <xf numFmtId="0" fontId="20" fillId="7" borderId="21" applyNumberFormat="0" applyAlignment="0" applyProtection="0">
      <alignment vertical="center"/>
    </xf>
    <xf numFmtId="0" fontId="21" fillId="7" borderId="20" applyNumberFormat="0" applyAlignment="0" applyProtection="0">
      <alignment vertical="center"/>
    </xf>
    <xf numFmtId="0" fontId="22" fillId="8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  <xf numFmtId="0" fontId="3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1" fillId="3" borderId="7" xfId="0" applyNumberFormat="1" applyFont="1" applyFill="1" applyBorder="1" applyAlignment="1">
      <alignment horizontal="center" vertical="center" wrapText="1"/>
    </xf>
    <xf numFmtId="3" fontId="1" fillId="3" borderId="8" xfId="0" applyNumberFormat="1" applyFont="1" applyFill="1" applyBorder="1" applyAlignment="1">
      <alignment horizontal="center" vertical="center" wrapText="1"/>
    </xf>
    <xf numFmtId="3" fontId="1" fillId="3" borderId="9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176" fontId="1" fillId="3" borderId="5" xfId="0" applyNumberFormat="1" applyFont="1" applyFill="1" applyBorder="1" applyAlignment="1">
      <alignment horizontal="center" vertical="center" wrapText="1"/>
    </xf>
    <xf numFmtId="177" fontId="1" fillId="3" borderId="5" xfId="0" applyNumberFormat="1" applyFont="1" applyFill="1" applyBorder="1" applyAlignment="1">
      <alignment horizontal="center" vertical="center" wrapText="1"/>
    </xf>
    <xf numFmtId="177" fontId="1" fillId="3" borderId="6" xfId="0" applyNumberFormat="1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76" fontId="1" fillId="3" borderId="14" xfId="0" applyNumberFormat="1" applyFont="1" applyFill="1" applyBorder="1" applyAlignment="1">
      <alignment horizontal="center" vertical="center" wrapText="1"/>
    </xf>
    <xf numFmtId="177" fontId="1" fillId="3" borderId="14" xfId="0" applyNumberFormat="1" applyFont="1" applyFill="1" applyBorder="1" applyAlignment="1">
      <alignment horizontal="center" vertical="center" wrapText="1"/>
    </xf>
    <xf numFmtId="177" fontId="1" fillId="3" borderId="15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6" fontId="1" fillId="3" borderId="11" xfId="0" applyNumberFormat="1" applyFont="1" applyFill="1" applyBorder="1" applyAlignment="1">
      <alignment horizontal="center" vertical="center" wrapText="1"/>
    </xf>
    <xf numFmtId="177" fontId="1" fillId="3" borderId="11" xfId="0" applyNumberFormat="1" applyFont="1" applyFill="1" applyBorder="1" applyAlignment="1">
      <alignment horizontal="center" vertical="center" wrapText="1"/>
    </xf>
    <xf numFmtId="177" fontId="1" fillId="3" borderId="12" xfId="0" applyNumberFormat="1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4" fillId="2" borderId="16" xfId="5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" fillId="3" borderId="16" xfId="49" applyFont="1" applyFill="1" applyBorder="1" applyAlignment="1">
      <alignment horizontal="center" vertical="center" wrapText="1"/>
    </xf>
    <xf numFmtId="178" fontId="1" fillId="3" borderId="16" xfId="0" applyNumberFormat="1" applyFont="1" applyFill="1" applyBorder="1" applyAlignment="1">
      <alignment horizontal="center" vertical="center" wrapText="1"/>
    </xf>
    <xf numFmtId="176" fontId="1" fillId="3" borderId="16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0 2" xfId="49"/>
    <cellStyle name="常规 6 2" xfId="50"/>
  </cellStyles>
  <dxfs count="6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5"/>
        </left>
        <right style="thin">
          <color theme="4" tint="0.599993896298105"/>
        </right>
        <top style="thin">
          <color theme="4"/>
        </top>
        <bottom style="thin">
          <color theme="4"/>
        </bottom>
        <vertical/>
        <horizontal style="thin">
          <color theme="4" tint="0.599993896298105"/>
        </horizontal>
      </border>
    </dxf>
    <dxf>
      <fill>
        <patternFill patternType="solid">
          <bgColor theme="4" tint="0.899990844447157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5"/>
        </vertical>
        <horizontal style="thin">
          <color theme="4" tint="0.599993896298105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4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 tint="0.659993285927915"/>
        </left>
        <right style="thin">
          <color theme="4"/>
        </right>
        <top style="thin">
          <color theme="4" tint="0.659993285927915"/>
        </top>
        <bottom style="thin">
          <color theme="4"/>
        </bottom>
        <vertical/>
        <horizontal style="thin">
          <color theme="4" tint="0.65999328592791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59993285927915"/>
        </right>
        <top style="thin">
          <color theme="4" tint="0.659993285927915"/>
        </top>
        <bottom style="thin">
          <color theme="4"/>
        </bottom>
        <vertical/>
        <horizontal style="thin">
          <color theme="4" tint="0.65999328592791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59993285927915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59993285927915"/>
        </vertical>
        <horizontal style="thin">
          <color theme="4" tint="0.659993285927915"/>
        </horizontal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799981688894314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799981688894314"/>
        </patternFill>
      </fill>
    </dxf>
    <dxf>
      <fill>
        <patternFill patternType="solid">
          <bgColor theme="4" tint="0.799981688894314"/>
        </patternFill>
      </fill>
    </dxf>
    <dxf>
      <font>
        <b val="1"/>
        <u val="none"/>
        <color rgb="FF08090C"/>
      </font>
      <fill>
        <patternFill patternType="solid">
          <bgColor theme="4" tint="0.599993896298105"/>
        </patternFill>
      </fill>
    </dxf>
    <dxf>
      <font>
        <b val="1"/>
        <u val="none"/>
        <color theme="4"/>
      </font>
      <fill>
        <patternFill patternType="solid">
          <bgColor theme="4" tint="0.599993896298105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ck">
          <color theme="4"/>
        </bottom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theme="4" tint="0.899990844447157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98168889431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8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浅色系标题行表格样式_b4126a" count="10" xr9:uid="{970F9FD9-EFE0-435E-B5E0-FCB93838774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简约边框浅色系标题行镶边行表格样式_85b9f4" count="10" xr9:uid="{BB3A69FB-DEAA-4690-ABBD-AE8C38C304DE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secondRowStripe" dxfId="21"/>
      <tableStyleElement type="firstColumnStripe" dxfId="20"/>
      <tableStyleElement type="secondColumnStripe" dxfId="19"/>
      <tableStyleElement type="firstTotalCell" dxfId="18"/>
      <tableStyleElement type="lastTotalCell" dxfId="17"/>
    </tableStyle>
    <tableStyle name="三线式标题行镶边行表格样式_5ef0b6" count="9" xr9:uid="{2FB60EB1-AFAA-4675-8922-B8712B34F5B1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secondRowStripe" dxfId="30"/>
      <tableStyleElement type="firstColumnStripe" dxfId="29"/>
      <tableStyleElement type="firstHeaderCell" dxfId="28"/>
      <tableStyleElement type="lastHeaderCell" dxfId="27"/>
    </tableStyle>
    <tableStyle name="中色系标题行镶边行表格样式_6e22f3" count="7" xr9:uid="{80C404F7-1B0C-4914-99C6-910FC9BD018A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secondRowStripe" dxfId="37"/>
      <tableStyleElement type="firstColumnStripe" dxfId="36"/>
    </tableStyle>
    <tableStyle name="三线式标题行表格样式_a64ba4" count="7" xr9:uid="{09A8112D-82B5-4A96-8C07-58511463B713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secondRowStripe" dxfId="44"/>
      <tableStyleElement type="firstColumnStripe" dxfId="43"/>
    </tableStyle>
    <tableStyle name="中色系标题行镶边列表格样式_e714ff" count="7" xr9:uid="{FD5D2691-0DE5-40AA-8CA3-8D3D112B4B70}">
      <tableStyleElement type="wholeTable" dxfId="56"/>
      <tableStyleElement type="headerRow" dxfId="55"/>
      <tableStyleElement type="totalRow" dxfId="54"/>
      <tableStyleElement type="firstColumn" dxfId="53"/>
      <tableStyleElement type="lastColumn" dxfId="52"/>
      <tableStyleElement type="secondRowStripe" dxfId="51"/>
      <tableStyleElement type="firstColumnStripe" dxfId="50"/>
    </tableStyle>
    <tableStyle name="PivotStylePreset2_Accent1" table="0" count="10" xr9:uid="{267968C8-6FFD-4C36-ACC1-9EA1FD1885CA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8"/>
  <sheetViews>
    <sheetView tabSelected="1" workbookViewId="0">
      <pane xSplit="4" ySplit="4" topLeftCell="F5" activePane="bottomRight" state="frozen"/>
      <selection/>
      <selection pane="topRight"/>
      <selection pane="bottomLeft"/>
      <selection pane="bottomRight" activeCell="C13" sqref="C13"/>
    </sheetView>
  </sheetViews>
  <sheetFormatPr defaultColWidth="8.78181818181818" defaultRowHeight="14"/>
  <cols>
    <col min="1" max="1" width="13.7818181818182" style="36" customWidth="1"/>
    <col min="2" max="2" width="13" style="36" customWidth="1"/>
    <col min="3" max="3" width="27" style="36" customWidth="1"/>
    <col min="4" max="4" width="11" style="37" customWidth="1"/>
    <col min="5" max="5" width="11.3363636363636" style="37" customWidth="1"/>
    <col min="6" max="6" width="12.3363636363636" style="36" customWidth="1"/>
    <col min="7" max="7" width="17" customWidth="1"/>
    <col min="8" max="8" width="12.3363636363636" customWidth="1"/>
    <col min="9" max="9" width="12.1090909090909" customWidth="1"/>
    <col min="10" max="10" width="10.6636363636364" customWidth="1"/>
    <col min="11" max="11" width="10.4454545454545" customWidth="1"/>
    <col min="12" max="12" width="15" customWidth="1"/>
    <col min="13" max="13" width="11" customWidth="1"/>
    <col min="14" max="14" width="15" customWidth="1"/>
  </cols>
  <sheetData>
    <row r="1" ht="28.5" customHeight="1" spans="1:14">
      <c r="A1" s="38" t="s">
        <v>0</v>
      </c>
      <c r="B1" s="38"/>
      <c r="C1" s="38"/>
      <c r="D1" s="38"/>
      <c r="E1" s="38"/>
      <c r="F1" s="38"/>
      <c r="G1" s="38" t="s">
        <v>1</v>
      </c>
      <c r="H1" s="38" t="s">
        <v>2</v>
      </c>
      <c r="I1" s="38" t="s">
        <v>3</v>
      </c>
      <c r="J1" s="38" t="s">
        <v>4</v>
      </c>
      <c r="K1" s="38"/>
      <c r="L1" s="38" t="s">
        <v>5</v>
      </c>
      <c r="M1" s="38"/>
      <c r="N1" s="38"/>
    </row>
    <row r="2" ht="22.5" customHeight="1" spans="1:14">
      <c r="A2" s="39"/>
      <c r="B2" s="39"/>
      <c r="C2" s="39"/>
      <c r="D2" s="39"/>
      <c r="E2" s="39"/>
      <c r="F2" s="39"/>
      <c r="G2" s="39" t="s">
        <v>6</v>
      </c>
      <c r="H2" s="39" t="s">
        <v>7</v>
      </c>
      <c r="I2" s="39"/>
      <c r="J2" s="39"/>
      <c r="K2" s="39"/>
      <c r="L2" s="39"/>
      <c r="M2" s="39"/>
      <c r="N2" s="39"/>
    </row>
    <row r="3" ht="22.5" customHeight="1" spans="1:14">
      <c r="A3" s="40"/>
      <c r="B3" s="40"/>
      <c r="C3" s="40"/>
      <c r="D3" s="40"/>
      <c r="E3" s="40"/>
      <c r="F3" s="40"/>
      <c r="G3" s="40">
        <f>_xlfn.STDEV.S(G5:G9)</f>
        <v>36.5792154907286</v>
      </c>
      <c r="H3" s="40"/>
      <c r="I3" s="40"/>
      <c r="J3" s="40"/>
      <c r="K3" s="40"/>
      <c r="L3" s="40"/>
      <c r="M3" s="40"/>
      <c r="N3" s="40"/>
    </row>
    <row r="4" ht="39" customHeight="1" spans="1:14">
      <c r="A4" s="41" t="s">
        <v>8</v>
      </c>
      <c r="B4" s="41" t="s">
        <v>9</v>
      </c>
      <c r="C4" s="41" t="s">
        <v>10</v>
      </c>
      <c r="D4" s="41" t="s">
        <v>11</v>
      </c>
      <c r="E4" s="41" t="s">
        <v>12</v>
      </c>
      <c r="F4" s="41" t="s">
        <v>13</v>
      </c>
      <c r="G4" s="42" t="s">
        <v>14</v>
      </c>
      <c r="H4" s="42" t="s">
        <v>15</v>
      </c>
      <c r="I4" s="42" t="s">
        <v>16</v>
      </c>
      <c r="J4" s="42" t="s">
        <v>17</v>
      </c>
      <c r="K4" s="42" t="s">
        <v>18</v>
      </c>
      <c r="L4" s="39" t="s">
        <v>19</v>
      </c>
      <c r="M4" s="39" t="s">
        <v>20</v>
      </c>
      <c r="N4" s="39" t="s">
        <v>21</v>
      </c>
    </row>
    <row r="5" ht="22.5" customHeight="1" spans="1:14">
      <c r="A5" s="43" t="s">
        <v>22</v>
      </c>
      <c r="B5" s="43">
        <v>1</v>
      </c>
      <c r="C5" s="43" t="s">
        <v>23</v>
      </c>
      <c r="D5" s="43">
        <v>80</v>
      </c>
      <c r="E5" s="44">
        <v>80.3461538461538</v>
      </c>
      <c r="F5" s="43" t="s">
        <v>24</v>
      </c>
      <c r="G5" s="40">
        <f>E5-D5</f>
        <v>0.346153846153797</v>
      </c>
      <c r="H5" s="45">
        <v>0.0969198197875254</v>
      </c>
      <c r="I5" s="45">
        <v>6.24670717639876</v>
      </c>
      <c r="J5" s="45">
        <v>1.5</v>
      </c>
      <c r="K5" s="45">
        <v>0.944384113598512</v>
      </c>
      <c r="L5" s="40">
        <v>904.4</v>
      </c>
      <c r="M5" s="40">
        <v>0.004</v>
      </c>
      <c r="N5" s="40">
        <v>226100</v>
      </c>
    </row>
    <row r="6" ht="22.5" customHeight="1" spans="1:14">
      <c r="A6" s="43" t="s">
        <v>25</v>
      </c>
      <c r="B6" s="43">
        <v>1</v>
      </c>
      <c r="C6" s="43" t="s">
        <v>26</v>
      </c>
      <c r="D6" s="43">
        <v>53</v>
      </c>
      <c r="E6" s="44">
        <v>90.4615384615385</v>
      </c>
      <c r="F6" s="43" t="s">
        <v>24</v>
      </c>
      <c r="G6" s="40">
        <f>E6-D6</f>
        <v>37.4615384615385</v>
      </c>
      <c r="H6" s="45">
        <v>0.659514834118086</v>
      </c>
      <c r="I6" s="45">
        <v>1.79356070577599</v>
      </c>
      <c r="J6" s="45">
        <v>1.5</v>
      </c>
      <c r="K6" s="45">
        <v>0.96253086019995</v>
      </c>
      <c r="L6" s="40">
        <v>5000</v>
      </c>
      <c r="M6" s="40">
        <v>0.004</v>
      </c>
      <c r="N6" s="40">
        <v>1250000</v>
      </c>
    </row>
    <row r="7" ht="22.5" customHeight="1" spans="1:14">
      <c r="A7" s="43" t="s">
        <v>27</v>
      </c>
      <c r="B7" s="43">
        <v>1</v>
      </c>
      <c r="C7" s="43" t="s">
        <v>28</v>
      </c>
      <c r="D7" s="43">
        <v>551.2</v>
      </c>
      <c r="E7" s="44">
        <v>517.692307692308</v>
      </c>
      <c r="F7" s="43" t="s">
        <v>29</v>
      </c>
      <c r="G7" s="40">
        <f>E7-D7</f>
        <v>-33.5076923076921</v>
      </c>
      <c r="H7" s="45">
        <v>0.726439203837138</v>
      </c>
      <c r="I7" s="45">
        <v>3.24180204669156</v>
      </c>
      <c r="J7" s="45">
        <v>1</v>
      </c>
      <c r="K7" s="45">
        <v>0.907036743698646</v>
      </c>
      <c r="L7" s="40">
        <v>424.1</v>
      </c>
      <c r="M7" s="40">
        <v>0.004</v>
      </c>
      <c r="N7" s="40">
        <v>106025</v>
      </c>
    </row>
    <row r="8" ht="22.5" customHeight="1" spans="1:14">
      <c r="A8" s="43" t="s">
        <v>30</v>
      </c>
      <c r="B8" s="43">
        <v>1</v>
      </c>
      <c r="C8" s="43" t="s">
        <v>31</v>
      </c>
      <c r="D8" s="43">
        <v>158</v>
      </c>
      <c r="E8" s="44">
        <v>159.692307692308</v>
      </c>
      <c r="F8" s="43" t="s">
        <v>32</v>
      </c>
      <c r="G8" s="40">
        <f t="shared" ref="G8:G45" si="0">E8-D8</f>
        <v>1.69230769230799</v>
      </c>
      <c r="H8" s="45">
        <v>0.564840741420949</v>
      </c>
      <c r="I8" s="45">
        <v>5.70145728038143</v>
      </c>
      <c r="J8" s="45">
        <v>0.9</v>
      </c>
      <c r="K8" s="45">
        <v>0.952904461598545</v>
      </c>
      <c r="L8" s="40">
        <v>5050</v>
      </c>
      <c r="M8" s="40">
        <v>0.004</v>
      </c>
      <c r="N8" s="40">
        <v>1262500</v>
      </c>
    </row>
    <row r="9" ht="22.5" customHeight="1" spans="1:14">
      <c r="A9" s="43" t="s">
        <v>33</v>
      </c>
      <c r="B9" s="43">
        <v>1</v>
      </c>
      <c r="C9" s="43" t="s">
        <v>34</v>
      </c>
      <c r="D9" s="43">
        <v>583</v>
      </c>
      <c r="E9" s="44">
        <v>525</v>
      </c>
      <c r="F9" s="43" t="s">
        <v>32</v>
      </c>
      <c r="G9" s="40">
        <f t="shared" si="0"/>
        <v>-58</v>
      </c>
      <c r="H9" s="45">
        <v>0.33655877544298</v>
      </c>
      <c r="I9" s="45">
        <v>2.54478150500732</v>
      </c>
      <c r="J9" s="45">
        <v>0.9</v>
      </c>
      <c r="K9" s="45">
        <v>0.965314721714053</v>
      </c>
      <c r="L9" s="40">
        <v>2000</v>
      </c>
      <c r="M9" s="40">
        <v>0.004</v>
      </c>
      <c r="N9" s="40">
        <v>500000</v>
      </c>
    </row>
    <row r="10" ht="22.5" customHeight="1" spans="1:14">
      <c r="A10" s="43" t="s">
        <v>35</v>
      </c>
      <c r="B10" s="43">
        <v>1</v>
      </c>
      <c r="C10" s="43" t="s">
        <v>36</v>
      </c>
      <c r="D10" s="43">
        <v>275.6</v>
      </c>
      <c r="E10" s="44">
        <v>301.384615384615</v>
      </c>
      <c r="F10" s="43" t="s">
        <v>29</v>
      </c>
      <c r="G10" s="40">
        <f t="shared" si="0"/>
        <v>25.784615384615</v>
      </c>
      <c r="H10" s="45">
        <v>0.150383694417591</v>
      </c>
      <c r="I10" s="45">
        <v>2.98736256695926</v>
      </c>
      <c r="J10" s="45">
        <v>1</v>
      </c>
      <c r="K10" s="45">
        <v>0.942225742425961</v>
      </c>
      <c r="L10" s="40">
        <v>6062</v>
      </c>
      <c r="M10" s="40">
        <v>0.004</v>
      </c>
      <c r="N10" s="40">
        <v>1515500</v>
      </c>
    </row>
    <row r="11" ht="22.5" customHeight="1"/>
    <row r="12" ht="22.5" customHeight="1"/>
    <row r="13" ht="22.5" customHeight="1"/>
    <row r="14" ht="22.5" customHeight="1"/>
    <row r="15" ht="22.5" customHeight="1"/>
    <row r="16" ht="22.5" customHeight="1"/>
    <row r="17" ht="22.5" customHeight="1"/>
    <row r="18" ht="22.5" customHeight="1"/>
    <row r="19" ht="22.5" customHeight="1"/>
    <row r="20" ht="22.5" customHeight="1"/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hidden="1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hidden="1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</sheetData>
  <autoFilter xmlns:etc="http://www.wps.cn/officeDocument/2017/etCustomData" ref="A4:K9" etc:filterBottomFollowUsedRange="0">
    <extLst/>
  </autoFilter>
  <mergeCells count="3">
    <mergeCell ref="A1:F1"/>
    <mergeCell ref="J1:K1"/>
    <mergeCell ref="L1:N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zoomScale="129" zoomScaleNormal="129" workbookViewId="0">
      <selection activeCell="H4" sqref="H4"/>
    </sheetView>
  </sheetViews>
  <sheetFormatPr defaultColWidth="8.78181818181818" defaultRowHeight="16.5"/>
  <cols>
    <col min="1" max="1" width="11.7818181818182" style="2" customWidth="1"/>
    <col min="2" max="2" width="20.3363636363636" style="2" customWidth="1"/>
    <col min="3" max="3" width="9" style="2" customWidth="1"/>
    <col min="4" max="4" width="9.33636363636364" style="3" customWidth="1"/>
    <col min="5" max="6" width="11" style="2" customWidth="1"/>
    <col min="7" max="7" width="9" style="2" customWidth="1"/>
    <col min="8" max="8" width="13" style="4" customWidth="1"/>
    <col min="9" max="10" width="15" style="4" customWidth="1"/>
    <col min="11" max="11" width="13.7818181818182" customWidth="1"/>
  </cols>
  <sheetData>
    <row r="1" ht="24.45" customHeight="1" spans="1:12">
      <c r="A1" s="5" t="s">
        <v>37</v>
      </c>
      <c r="B1" s="5"/>
      <c r="C1" s="5"/>
      <c r="D1" s="5"/>
      <c r="E1" s="5"/>
      <c r="F1" s="5"/>
      <c r="G1" s="5"/>
      <c r="H1" s="6"/>
      <c r="I1" s="6" t="s">
        <v>38</v>
      </c>
      <c r="J1" s="6"/>
      <c r="K1" s="6"/>
    </row>
    <row r="2" s="1" customFormat="1" ht="36" customHeight="1" spans="1:12">
      <c r="A2" s="7" t="s">
        <v>39</v>
      </c>
      <c r="B2" s="8" t="s">
        <v>40</v>
      </c>
      <c r="C2" s="8" t="s">
        <v>41</v>
      </c>
      <c r="D2" s="8" t="s">
        <v>1</v>
      </c>
      <c r="E2" s="8" t="s">
        <v>2</v>
      </c>
      <c r="F2" s="8" t="s">
        <v>3</v>
      </c>
      <c r="G2" s="9" t="s">
        <v>4</v>
      </c>
      <c r="H2" s="10"/>
      <c r="I2" s="7" t="s">
        <v>42</v>
      </c>
      <c r="J2" s="8" t="s">
        <v>43</v>
      </c>
      <c r="K2" s="9" t="s">
        <v>44</v>
      </c>
      <c r="L2" s="11"/>
    </row>
    <row r="3" s="1" customFormat="1" ht="36" customHeight="1" spans="1:12">
      <c r="A3" s="12" t="s">
        <v>45</v>
      </c>
      <c r="B3" s="13">
        <v>6</v>
      </c>
      <c r="C3" s="14" t="s">
        <v>46</v>
      </c>
      <c r="D3" s="13">
        <v>3</v>
      </c>
      <c r="E3" s="13">
        <v>0.3</v>
      </c>
      <c r="F3" s="13">
        <v>0.3</v>
      </c>
      <c r="G3" s="15">
        <v>0.3</v>
      </c>
      <c r="H3" s="16"/>
      <c r="I3" s="17" t="e">
        <f>红色系统输入黄色人工调整!#REF!</f>
        <v>#REF!</v>
      </c>
      <c r="J3" s="18" t="e">
        <f>红色系统输入黄色人工调整!#REF!</f>
        <v>#REF!</v>
      </c>
      <c r="K3" s="19" t="e">
        <f>红色系统输入黄色人工调整!#REF!</f>
        <v>#REF!</v>
      </c>
      <c r="L3" s="11"/>
    </row>
    <row r="4" s="1" customFormat="1" ht="36" customHeight="1" spans="1:12">
      <c r="A4" s="20" t="s">
        <v>47</v>
      </c>
      <c r="B4" s="21">
        <v>3</v>
      </c>
      <c r="C4" s="22" t="s">
        <v>48</v>
      </c>
      <c r="D4" s="21">
        <v>3</v>
      </c>
      <c r="E4" s="21">
        <f>E3</f>
        <v>0.3</v>
      </c>
      <c r="F4" s="21">
        <f>F3</f>
        <v>0.3</v>
      </c>
      <c r="G4" s="23">
        <f>G3</f>
        <v>0.3</v>
      </c>
      <c r="H4" s="16"/>
      <c r="I4" s="16"/>
      <c r="J4" s="16"/>
      <c r="K4" s="16"/>
      <c r="L4" s="11"/>
    </row>
    <row r="5" s="1" customFormat="1" ht="24.45" customHeight="1" spans="1:12">
      <c r="A5" s="5" t="s">
        <v>49</v>
      </c>
      <c r="B5" s="5"/>
      <c r="C5" s="5"/>
      <c r="D5" s="5"/>
      <c r="E5" s="5"/>
      <c r="F5" s="5"/>
      <c r="G5" s="5"/>
      <c r="H5" s="5"/>
      <c r="I5" s="5"/>
      <c r="J5" s="5"/>
      <c r="K5" s="5"/>
      <c r="L5" s="11"/>
    </row>
    <row r="6" s="1" customFormat="1" ht="18.45" customHeight="1" spans="1:12">
      <c r="A6" s="7" t="s">
        <v>50</v>
      </c>
      <c r="B6" s="8" t="s">
        <v>51</v>
      </c>
      <c r="C6" s="8" t="s">
        <v>11</v>
      </c>
      <c r="D6" s="8" t="s">
        <v>52</v>
      </c>
      <c r="E6" s="8" t="s">
        <v>53</v>
      </c>
      <c r="F6" s="8" t="s">
        <v>54</v>
      </c>
      <c r="G6" s="8" t="s">
        <v>55</v>
      </c>
      <c r="H6" s="8" t="s">
        <v>19</v>
      </c>
      <c r="I6" s="8" t="s">
        <v>56</v>
      </c>
      <c r="J6" s="8" t="s">
        <v>57</v>
      </c>
      <c r="K6" s="9" t="s">
        <v>44</v>
      </c>
      <c r="L6" s="16"/>
    </row>
    <row r="7" s="1" customFormat="1" ht="18.45" customHeight="1" spans="1:12">
      <c r="A7" s="12" t="str" cm="1">
        <f t="array" ref="A7:A11">_xlfn._xlws.FILTER(红色系统输入黄色人工调整!A5:A9,红色系统输入黄色人工调整!B5:B9=1)</f>
        <v>11010803</v>
      </c>
      <c r="B7" s="14" t="str" cm="1">
        <f t="array" ref="B7:B11">_xlfn._xlws.FILTER(红色系统输入黄色人工调整!C5:C9,红色系统输入黄色人工调整!B5:B9=1)</f>
        <v>中南海(金8mg)</v>
      </c>
      <c r="C7" s="14" cm="1">
        <f t="array" ref="C7:D11">_xlfn._xlws.FILTER(红色系统输入黄色人工调整!D5:E9,红色系统输入黄色人工调整!B5:B9=1)</f>
        <v>80</v>
      </c>
      <c r="D7" s="24">
        <v>80.3461538461538</v>
      </c>
      <c r="E7" s="14" t="e" cm="1">
        <f t="array" ref="E7">_xlfn._xlws.FILTER(红色系统输入黄色人工调整!#REF!,红色系统输入黄色人工调整!B5:B9=1)</f>
        <v>#REF!</v>
      </c>
      <c r="F7" s="14"/>
      <c r="G7" s="14" t="e">
        <f>IF(E7="","",F7-E7)</f>
        <v>#REF!</v>
      </c>
      <c r="H7" s="14" t="e" cm="1">
        <f t="array" ref="H7">_xlfn._xlws.FILTER(红色系统输入黄色人工调整!#REF!,红色系统输入黄色人工调整!B5:B9=1)</f>
        <v>#REF!</v>
      </c>
      <c r="I7" s="25" t="e" cm="1">
        <f t="array" ref="I7">_xlfn._xlws.FILTER(红色系统输入黄色人工调整!#REF!,红色系统输入黄色人工调整!B5:B9=1)</f>
        <v>#REF!</v>
      </c>
      <c r="J7" s="25"/>
      <c r="K7" s="26"/>
      <c r="L7" s="16"/>
    </row>
    <row r="8" s="2" customFormat="1" ht="18.45" customHeight="1" spans="1:12">
      <c r="A8" s="27" t="str">
        <v>12010601</v>
      </c>
      <c r="B8" s="28" t="str">
        <v>大前门(软)</v>
      </c>
      <c r="C8" s="28">
        <v>53</v>
      </c>
      <c r="D8" s="29">
        <v>90.4615384615385</v>
      </c>
      <c r="E8" s="28"/>
      <c r="F8" s="28"/>
      <c r="G8" s="28" t="str">
        <f t="shared" ref="G8:G26" si="0">IF(E8="","",F8-E8)</f>
        <v/>
      </c>
      <c r="H8" s="28"/>
      <c r="I8" s="30"/>
      <c r="J8" s="30"/>
      <c r="K8" s="31"/>
      <c r="L8" s="32"/>
    </row>
    <row r="9" s="2" customFormat="1" ht="18.45" customHeight="1" spans="1:12">
      <c r="A9" s="27" t="str">
        <v>12011119</v>
      </c>
      <c r="B9" s="28" t="str">
        <v>恒大(烟魁1949中支)</v>
      </c>
      <c r="C9" s="28">
        <v>551.2</v>
      </c>
      <c r="D9" s="29">
        <v>517.692307692308</v>
      </c>
      <c r="E9" s="28"/>
      <c r="F9" s="28"/>
      <c r="G9" s="28" t="str">
        <f t="shared" si="0"/>
        <v/>
      </c>
      <c r="H9" s="28"/>
      <c r="I9" s="30"/>
      <c r="J9" s="30"/>
      <c r="K9" s="31"/>
      <c r="L9" s="32"/>
    </row>
    <row r="10" s="2" customFormat="1" ht="18.45" customHeight="1" spans="1:12">
      <c r="A10" s="27" t="str">
        <v>22240217</v>
      </c>
      <c r="B10" s="28" t="str">
        <v>长白山(蓝尚)</v>
      </c>
      <c r="C10" s="28">
        <v>158</v>
      </c>
      <c r="D10" s="29">
        <v>159.692307692308</v>
      </c>
      <c r="E10" s="28"/>
      <c r="F10" s="28"/>
      <c r="G10" s="28" t="str">
        <f t="shared" si="0"/>
        <v/>
      </c>
      <c r="H10" s="28"/>
      <c r="I10" s="30"/>
      <c r="J10" s="30"/>
      <c r="K10" s="31"/>
      <c r="L10" s="32"/>
    </row>
    <row r="11" s="2" customFormat="1" ht="18.45" customHeight="1" spans="1:12">
      <c r="A11" s="20" t="str">
        <v>31010702</v>
      </c>
      <c r="B11" s="22" t="str">
        <v>中华(软)</v>
      </c>
      <c r="C11" s="22">
        <v>583</v>
      </c>
      <c r="D11" s="33">
        <v>525</v>
      </c>
      <c r="E11" s="22"/>
      <c r="F11" s="22"/>
      <c r="G11" s="22" t="str">
        <f t="shared" si="0"/>
        <v/>
      </c>
      <c r="H11" s="22"/>
      <c r="I11" s="34"/>
      <c r="J11" s="34"/>
      <c r="K11" s="35"/>
      <c r="L11" s="32"/>
    </row>
    <row r="12" s="2" customFormat="1" ht="18.45" customHeight="1" spans="1:12">
      <c r="D12" s="3"/>
      <c r="G12" s="14" t="str">
        <f t="shared" si="0"/>
        <v/>
      </c>
      <c r="H12" s="4"/>
      <c r="I12" s="4"/>
      <c r="J12" s="4"/>
      <c r="K12" s="32"/>
    </row>
    <row r="13" s="2" customFormat="1" ht="22.5" customHeight="1" spans="1:12">
      <c r="D13" s="3"/>
      <c r="G13" s="14" t="str">
        <f t="shared" si="0"/>
        <v/>
      </c>
      <c r="H13" s="4"/>
      <c r="I13" s="4"/>
      <c r="J13" s="4"/>
    </row>
    <row r="14" s="2" customFormat="1" ht="22.5" customHeight="1" spans="1:12">
      <c r="D14" s="3"/>
      <c r="G14" s="14" t="str">
        <f t="shared" si="0"/>
        <v/>
      </c>
      <c r="H14" s="4"/>
      <c r="I14" s="4"/>
      <c r="J14" s="4"/>
    </row>
    <row r="15" s="2" customFormat="1" ht="22.5" customHeight="1" spans="1:12">
      <c r="D15" s="3"/>
      <c r="G15" s="14" t="str">
        <f t="shared" si="0"/>
        <v/>
      </c>
      <c r="H15" s="4"/>
      <c r="I15" s="4"/>
      <c r="J15" s="4"/>
    </row>
    <row r="16" s="2" customFormat="1" ht="22.5" customHeight="1" spans="1:12">
      <c r="D16" s="3"/>
      <c r="G16" s="14" t="str">
        <f t="shared" si="0"/>
        <v/>
      </c>
      <c r="H16" s="4"/>
      <c r="I16" s="4"/>
      <c r="J16" s="4"/>
    </row>
    <row r="17" s="2" customFormat="1" ht="22.5" customHeight="1" spans="4:10">
      <c r="D17" s="3"/>
      <c r="G17" s="14" t="str">
        <f t="shared" si="0"/>
        <v/>
      </c>
      <c r="H17" s="4"/>
      <c r="I17" s="4"/>
      <c r="J17" s="4"/>
    </row>
    <row r="18" s="2" customFormat="1" ht="22.5" customHeight="1" spans="4:10">
      <c r="D18" s="3"/>
      <c r="G18" s="14" t="str">
        <f t="shared" si="0"/>
        <v/>
      </c>
      <c r="H18" s="4"/>
      <c r="I18" s="4"/>
      <c r="J18" s="4"/>
    </row>
    <row r="19" s="2" customFormat="1" ht="22.5" customHeight="1" spans="4:10">
      <c r="D19" s="3"/>
      <c r="G19" s="14" t="str">
        <f t="shared" si="0"/>
        <v/>
      </c>
      <c r="H19" s="4"/>
      <c r="I19" s="4"/>
      <c r="J19" s="4"/>
    </row>
    <row r="20" s="2" customFormat="1" ht="22.5" customHeight="1" spans="4:10">
      <c r="D20" s="3"/>
      <c r="G20" s="14" t="str">
        <f t="shared" si="0"/>
        <v/>
      </c>
      <c r="H20" s="4"/>
      <c r="I20" s="4"/>
      <c r="J20" s="4"/>
    </row>
    <row r="21" s="2" customFormat="1" ht="22.5" customHeight="1" spans="4:10">
      <c r="D21" s="3"/>
      <c r="G21" s="14" t="str">
        <f t="shared" si="0"/>
        <v/>
      </c>
      <c r="H21" s="4"/>
      <c r="I21" s="4"/>
      <c r="J21" s="4"/>
    </row>
    <row r="22" s="2" customFormat="1" ht="22.5" customHeight="1" spans="4:10">
      <c r="D22" s="3"/>
      <c r="G22" s="14" t="str">
        <f t="shared" si="0"/>
        <v/>
      </c>
      <c r="H22" s="4"/>
      <c r="I22" s="4"/>
      <c r="J22" s="4"/>
    </row>
    <row r="23" s="2" customFormat="1" ht="22.5" customHeight="1" spans="4:10">
      <c r="D23" s="3"/>
      <c r="G23" s="14" t="str">
        <f t="shared" si="0"/>
        <v/>
      </c>
      <c r="H23" s="4"/>
      <c r="I23" s="4"/>
      <c r="J23" s="4"/>
    </row>
    <row r="24" s="2" customFormat="1" ht="22.5" customHeight="1" spans="4:10">
      <c r="D24" s="3"/>
      <c r="G24" s="14" t="str">
        <f t="shared" si="0"/>
        <v/>
      </c>
      <c r="H24" s="4"/>
      <c r="I24" s="4"/>
      <c r="J24" s="4"/>
    </row>
    <row r="25" s="2" customFormat="1" ht="22.5" customHeight="1" spans="4:10">
      <c r="D25" s="3"/>
      <c r="G25" s="14" t="str">
        <f t="shared" si="0"/>
        <v/>
      </c>
      <c r="H25" s="4"/>
      <c r="I25" s="4"/>
      <c r="J25" s="4"/>
    </row>
    <row r="26" s="2" customFormat="1" ht="22.5" customHeight="1" spans="4:10">
      <c r="D26" s="3"/>
      <c r="G26" s="14" t="str">
        <f t="shared" si="0"/>
        <v/>
      </c>
      <c r="H26" s="4"/>
      <c r="I26" s="4"/>
      <c r="J26" s="4"/>
    </row>
    <row r="27" s="2" customFormat="1" ht="22.5" customHeight="1" spans="4:10">
      <c r="D27" s="3"/>
      <c r="H27" s="4"/>
      <c r="I27" s="4"/>
      <c r="J27" s="4"/>
    </row>
    <row r="28" s="2" customFormat="1" ht="22.5" customHeight="1" spans="4:10">
      <c r="D28" s="3"/>
      <c r="H28" s="4"/>
      <c r="I28" s="4"/>
      <c r="J28" s="4"/>
    </row>
    <row r="29" s="2" customFormat="1" ht="22.5" customHeight="1" spans="4:10">
      <c r="D29" s="3"/>
      <c r="H29" s="4"/>
      <c r="I29" s="4"/>
      <c r="J29" s="4"/>
    </row>
    <row r="30" s="2" customFormat="1" ht="22.5" customHeight="1" spans="4:10">
      <c r="D30" s="3"/>
      <c r="H30" s="4"/>
      <c r="I30" s="4"/>
      <c r="J30" s="4"/>
    </row>
    <row r="31" s="2" customFormat="1" ht="22.5" customHeight="1" spans="4:10">
      <c r="D31" s="3"/>
      <c r="H31" s="4"/>
      <c r="I31" s="4"/>
      <c r="J31" s="4"/>
    </row>
    <row r="32" s="2" customFormat="1" ht="22.5" customHeight="1" spans="4:10">
      <c r="D32" s="3"/>
      <c r="H32" s="4"/>
      <c r="I32" s="4"/>
      <c r="J32" s="4"/>
    </row>
    <row r="33" s="2" customFormat="1" ht="22.5" customHeight="1" spans="4:10">
      <c r="D33" s="3"/>
      <c r="H33" s="4"/>
      <c r="I33" s="4"/>
      <c r="J33" s="4"/>
    </row>
    <row r="34" s="2" customFormat="1" ht="22.5" customHeight="1" spans="4:10">
      <c r="D34" s="3"/>
      <c r="H34" s="4"/>
      <c r="I34" s="4"/>
      <c r="J34" s="4"/>
    </row>
    <row r="35" s="2" customFormat="1" ht="22.5" customHeight="1" spans="4:10">
      <c r="D35" s="3"/>
      <c r="H35" s="4"/>
      <c r="I35" s="4"/>
      <c r="J35" s="4"/>
    </row>
    <row r="36" s="2" customFormat="1" ht="22.5" customHeight="1" spans="4:10">
      <c r="D36" s="3"/>
      <c r="H36" s="4"/>
      <c r="I36" s="4"/>
      <c r="J36" s="4"/>
    </row>
    <row r="37" s="2" customFormat="1" ht="22.5" customHeight="1" spans="4:10">
      <c r="D37" s="3"/>
      <c r="H37" s="4"/>
      <c r="I37" s="4"/>
      <c r="J37" s="4"/>
    </row>
    <row r="38" s="2" customFormat="1" ht="22.5" customHeight="1" spans="4:10">
      <c r="D38" s="3"/>
      <c r="H38" s="4"/>
      <c r="I38" s="4"/>
      <c r="J38" s="4"/>
    </row>
    <row r="39" s="2" customFormat="1" ht="22.5" customHeight="1" spans="4:10">
      <c r="D39" s="3"/>
      <c r="H39" s="4"/>
      <c r="I39" s="4"/>
      <c r="J39" s="4"/>
    </row>
    <row r="40" s="2" customFormat="1" ht="22.5" customHeight="1" spans="4:10">
      <c r="D40" s="3"/>
      <c r="H40" s="4"/>
      <c r="I40" s="4"/>
      <c r="J40" s="4"/>
    </row>
    <row r="41" s="2" customFormat="1" ht="22.5" customHeight="1" spans="4:10">
      <c r="D41" s="3"/>
      <c r="H41" s="4"/>
      <c r="I41" s="4"/>
      <c r="J41" s="4"/>
    </row>
    <row r="42" s="2" customFormat="1" ht="22.5" customHeight="1" spans="4:10">
      <c r="D42" s="3"/>
      <c r="H42" s="4"/>
      <c r="I42" s="4"/>
      <c r="J42" s="4"/>
    </row>
    <row r="43" s="2" customFormat="1" ht="22.5" customHeight="1" spans="4:10">
      <c r="D43" s="3"/>
      <c r="H43" s="4"/>
      <c r="I43" s="4"/>
      <c r="J43" s="4"/>
    </row>
  </sheetData>
  <mergeCells count="3">
    <mergeCell ref="A1:G1"/>
    <mergeCell ref="I1:K1"/>
    <mergeCell ref="A5:K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红色系统输入黄色人工调整</vt:lpstr>
      <vt:lpstr>所选品规列表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15298</dc:creator>
  <cp:lastModifiedBy>W</cp:lastModifiedBy>
  <dcterms:created xsi:type="dcterms:W3CDTF">2026-03-20T05:37:00Z</dcterms:created>
  <dcterms:modified xsi:type="dcterms:W3CDTF">2026-08-21T06:18:29Z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71DD6ADBD15A475798E8983F4C53839F_11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