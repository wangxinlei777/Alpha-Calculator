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天气\积分项目\"/>
    </mc:Choice>
  </mc:AlternateContent>
  <xr:revisionPtr revIDLastSave="0" documentId="13_ncr:1_{66A09D2A-576F-47B9-B9EB-5D2E1DA3CB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红色系统输入黄色人工调整" sheetId="1" r:id="rId1"/>
    <sheet name="所选品规列表" sheetId="2" r:id="rId2"/>
  </sheets>
  <definedNames>
    <definedName name="_xlnm._FilterDatabase" localSheetId="0" hidden="1">红色系统输入黄色人工调整!$A$4:$K$218</definedName>
  </definedNames>
  <calcPr calcId="181029"/>
</workbook>
</file>

<file path=xl/calcChain.xml><?xml version="1.0" encoding="utf-8"?>
<calcChain xmlns="http://schemas.openxmlformats.org/spreadsheetml/2006/main">
  <c r="G26" i="2" l="1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I7" i="2" a="1"/>
  <c r="I10" i="2" s="1"/>
  <c r="H7" i="2" a="1"/>
  <c r="H7" i="2" s="1"/>
  <c r="E7" i="2" a="1"/>
  <c r="F8" i="2" s="1"/>
  <c r="C7" i="2" a="1"/>
  <c r="C7" i="2" s="1"/>
  <c r="B7" i="2" a="1"/>
  <c r="B11" i="2" s="1"/>
  <c r="A7" i="2" a="1"/>
  <c r="A9" i="2" s="1"/>
  <c r="G4" i="2"/>
  <c r="F4" i="2"/>
  <c r="E4" i="2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A10" i="2" l="1"/>
  <c r="A8" i="2"/>
  <c r="E8" i="2"/>
  <c r="G8" i="2" s="1"/>
  <c r="E9" i="2"/>
  <c r="G9" i="2" s="1"/>
  <c r="K10" i="2"/>
  <c r="A11" i="2"/>
  <c r="F9" i="2"/>
  <c r="B8" i="2"/>
  <c r="H8" i="2"/>
  <c r="B10" i="2"/>
  <c r="A7" i="2"/>
  <c r="I8" i="2"/>
  <c r="G3" i="1"/>
  <c r="C10" i="2"/>
  <c r="C9" i="2"/>
  <c r="C8" i="2"/>
  <c r="D11" i="2"/>
  <c r="D7" i="2"/>
  <c r="D8" i="2"/>
  <c r="D9" i="2"/>
  <c r="D10" i="2"/>
  <c r="C11" i="2"/>
  <c r="K7" i="2"/>
  <c r="J10" i="2"/>
  <c r="B7" i="2"/>
  <c r="E10" i="2"/>
  <c r="G10" i="2" s="1"/>
  <c r="H9" i="2"/>
  <c r="J8" i="2"/>
  <c r="I11" i="2"/>
  <c r="E7" i="2"/>
  <c r="G7" i="2" s="1"/>
  <c r="F10" i="2"/>
  <c r="H10" i="2"/>
  <c r="K8" i="2"/>
  <c r="J11" i="2"/>
  <c r="E11" i="2"/>
  <c r="G11" i="2" s="1"/>
  <c r="H11" i="2"/>
  <c r="I9" i="2"/>
  <c r="K11" i="2"/>
  <c r="B9" i="2"/>
  <c r="F7" i="2"/>
  <c r="F11" i="2"/>
  <c r="I7" i="2"/>
  <c r="J9" i="2"/>
  <c r="K9" i="2"/>
  <c r="J7" i="2"/>
  <c r="I3" i="2" l="1"/>
  <c r="J3" i="2" l="1"/>
  <c r="K3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<sst xmlns="http://schemas.openxmlformats.org/spreadsheetml/2006/main" count="692" uniqueCount="475">
  <si>
    <t>品规属性</t>
  </si>
  <si>
    <t>盈利健康度因子</t>
  </si>
  <si>
    <t>预订活跃度因子</t>
  </si>
  <si>
    <t>库存健康因子</t>
  </si>
  <si>
    <t>品牌属性因子</t>
  </si>
  <si>
    <t>辖区标准差</t>
  </si>
  <si>
    <t>预订权重指数</t>
  </si>
  <si>
    <t>销售权重指数</t>
  </si>
  <si>
    <t>均值</t>
  </si>
  <si>
    <t>选品预订积分</t>
  </si>
  <si>
    <t>选品销售积分</t>
  </si>
  <si>
    <t>总积分数</t>
  </si>
  <si>
    <t>代码</t>
  </si>
  <si>
    <t>选品列表</t>
  </si>
  <si>
    <t>卷烟规格</t>
  </si>
  <si>
    <t>批发价</t>
  </si>
  <si>
    <t>属性</t>
  </si>
  <si>
    <t>单条盈利</t>
  </si>
  <si>
    <t>预订率R</t>
  </si>
  <si>
    <t>存销比T</t>
  </si>
  <si>
    <t>Bbase</t>
  </si>
  <si>
    <t>Bgoal</t>
  </si>
  <si>
    <t>预订积分</t>
  </si>
  <si>
    <t>销售积分</t>
  </si>
  <si>
    <t>上半年箱数</t>
  </si>
  <si>
    <t>总预订积分数</t>
  </si>
  <si>
    <t>总消费积分数</t>
  </si>
  <si>
    <t>11010803</t>
  </si>
  <si>
    <t>中南海(金8mg)</t>
  </si>
  <si>
    <t>紧俏烟</t>
  </si>
  <si>
    <t>11010807</t>
  </si>
  <si>
    <t>中南海(硬酷爽风尚)</t>
  </si>
  <si>
    <t>新品卷烟</t>
  </si>
  <si>
    <t>11010812</t>
  </si>
  <si>
    <t>中南海(5mg细支)</t>
  </si>
  <si>
    <t>均衡满足</t>
  </si>
  <si>
    <t>11010813</t>
  </si>
  <si>
    <t>中南海(冰耀中支)</t>
  </si>
  <si>
    <t>11010814</t>
  </si>
  <si>
    <t>中南海(冰耀细支)</t>
  </si>
  <si>
    <t>12010601</t>
  </si>
  <si>
    <t>大前门(软)</t>
  </si>
  <si>
    <t>12011119</t>
  </si>
  <si>
    <t>恒大(烟魁1949中支)</t>
  </si>
  <si>
    <t>13070202</t>
  </si>
  <si>
    <t>钻石(硬特醇)</t>
  </si>
  <si>
    <t>完全满足</t>
  </si>
  <si>
    <t>13070217</t>
  </si>
  <si>
    <t>钻石(荷花)</t>
  </si>
  <si>
    <t>13070221</t>
  </si>
  <si>
    <t>钻石(细支荷花)</t>
  </si>
  <si>
    <t>13070222</t>
  </si>
  <si>
    <t>钻石(软荷花)</t>
  </si>
  <si>
    <t>13070224</t>
  </si>
  <si>
    <t>钻石(细支尚风)</t>
  </si>
  <si>
    <t>13070225</t>
  </si>
  <si>
    <t>钻石(玫瑰二代)</t>
  </si>
  <si>
    <t>13070227</t>
  </si>
  <si>
    <t>钻石(荷花小雅90mm细支)</t>
  </si>
  <si>
    <t>15010203</t>
  </si>
  <si>
    <t>冬虫夏草(和润)</t>
  </si>
  <si>
    <t>15010205</t>
  </si>
  <si>
    <t>冬虫夏草(双中支)</t>
  </si>
  <si>
    <t>15010207</t>
  </si>
  <si>
    <t>冬虫夏草(岁悦细支)</t>
  </si>
  <si>
    <t>15010301</t>
  </si>
  <si>
    <t>云烟(硬苁蓉)</t>
  </si>
  <si>
    <t>21020107</t>
  </si>
  <si>
    <t>人民大会堂(硬红细支)</t>
  </si>
  <si>
    <t>21020109</t>
  </si>
  <si>
    <t>人民大会堂(辉煌)</t>
  </si>
  <si>
    <t>21020110</t>
  </si>
  <si>
    <t>人民大会堂(红细支)</t>
  </si>
  <si>
    <t>22240202</t>
  </si>
  <si>
    <t>长白山(软红)</t>
  </si>
  <si>
    <t>22240203</t>
  </si>
  <si>
    <t>长白山(红)</t>
  </si>
  <si>
    <t>22240204</t>
  </si>
  <si>
    <t>长白山(神韵)</t>
  </si>
  <si>
    <t>22240213</t>
  </si>
  <si>
    <t>长白山(777)</t>
  </si>
  <si>
    <t>22240215</t>
  </si>
  <si>
    <t>长白山(迎春中支)</t>
  </si>
  <si>
    <t>22240217</t>
  </si>
  <si>
    <t>长白山(蓝尚)</t>
  </si>
  <si>
    <t>22240219</t>
  </si>
  <si>
    <t>长白山(心归细支)</t>
  </si>
  <si>
    <t>23010303</t>
  </si>
  <si>
    <t>哈尔滨(老巴夺)</t>
  </si>
  <si>
    <t>23010402</t>
  </si>
  <si>
    <t>龙烟(老巴夺传呈）</t>
  </si>
  <si>
    <t>31010412</t>
  </si>
  <si>
    <t>红双喜(硬江山精品)</t>
  </si>
  <si>
    <t>31010413</t>
  </si>
  <si>
    <t>红双喜(硬江山珍品)</t>
  </si>
  <si>
    <t>31010505</t>
  </si>
  <si>
    <t>牡丹(软)</t>
  </si>
  <si>
    <t>31010509</t>
  </si>
  <si>
    <t>牡丹(蓝中支)</t>
  </si>
  <si>
    <t>31010510</t>
  </si>
  <si>
    <t>牡丹(红中支)</t>
  </si>
  <si>
    <t>31010511</t>
  </si>
  <si>
    <t>牡丹(恒大天青细支)</t>
  </si>
  <si>
    <t>31010512</t>
  </si>
  <si>
    <t>牡丹(恒大蓝金中支)</t>
  </si>
  <si>
    <t>31010513</t>
  </si>
  <si>
    <t>牡丹(恒大硬中支)</t>
  </si>
  <si>
    <t>31010514</t>
  </si>
  <si>
    <t>牡丹(蓝彩细支)</t>
  </si>
  <si>
    <t>31010515</t>
  </si>
  <si>
    <t>牡丹(恒大记忆1949中支)</t>
  </si>
  <si>
    <t>31010516</t>
  </si>
  <si>
    <t>牡丹(玄华双中)</t>
  </si>
  <si>
    <t>31010701</t>
  </si>
  <si>
    <t>中华(硬)</t>
  </si>
  <si>
    <t>31010702</t>
  </si>
  <si>
    <t>中华(软)</t>
  </si>
  <si>
    <t>31010711</t>
  </si>
  <si>
    <t>中华(全开式)</t>
  </si>
  <si>
    <t>31010712</t>
  </si>
  <si>
    <t>中华(金中支)</t>
  </si>
  <si>
    <t>31010713</t>
  </si>
  <si>
    <t>中华(双中支)</t>
  </si>
  <si>
    <t>31010715</t>
  </si>
  <si>
    <t>中华(细支)</t>
  </si>
  <si>
    <t>31010716</t>
  </si>
  <si>
    <t>中华(金细支)</t>
  </si>
  <si>
    <t>31010718</t>
  </si>
  <si>
    <t>中华(细支3mg)</t>
  </si>
  <si>
    <t>31010719</t>
  </si>
  <si>
    <t>中华(细支6mg)</t>
  </si>
  <si>
    <t>31010720</t>
  </si>
  <si>
    <t>中华(金双中)</t>
  </si>
  <si>
    <t>31010805</t>
  </si>
  <si>
    <t>熊猫(硬经典)</t>
  </si>
  <si>
    <t>31010806</t>
  </si>
  <si>
    <t>熊猫(典藏中支）</t>
  </si>
  <si>
    <t>31010807</t>
  </si>
  <si>
    <t>熊猫(经典细支)</t>
  </si>
  <si>
    <t>32010205</t>
  </si>
  <si>
    <t>南京(红)</t>
  </si>
  <si>
    <t>32010208</t>
  </si>
  <si>
    <t>南京(雨花石)</t>
  </si>
  <si>
    <t>32010209</t>
  </si>
  <si>
    <t>南京(十二钗烤烟)</t>
  </si>
  <si>
    <t>32010210</t>
  </si>
  <si>
    <t>南京(炫赫门)</t>
  </si>
  <si>
    <t>32010211</t>
  </si>
  <si>
    <t>南京(细支九五)</t>
  </si>
  <si>
    <t>32010215</t>
  </si>
  <si>
    <t>南京(十二钗薄荷)</t>
  </si>
  <si>
    <t>32010216</t>
  </si>
  <si>
    <t>南京(软九五)</t>
  </si>
  <si>
    <t>32010217</t>
  </si>
  <si>
    <t>南京(梦都)</t>
  </si>
  <si>
    <t>32010218</t>
  </si>
  <si>
    <t>南京(九五新版)</t>
  </si>
  <si>
    <t>32010219</t>
  </si>
  <si>
    <t>南京(大观园爆冰)</t>
  </si>
  <si>
    <t>32010220</t>
  </si>
  <si>
    <t>南京(雨花石3mg)</t>
  </si>
  <si>
    <t>32030501</t>
  </si>
  <si>
    <t>苏烟(软金砂)</t>
  </si>
  <si>
    <t>32030504</t>
  </si>
  <si>
    <t>苏烟(五星红杉树)</t>
  </si>
  <si>
    <t>32030511</t>
  </si>
  <si>
    <t>苏烟(五星红中)</t>
  </si>
  <si>
    <t>33010501</t>
  </si>
  <si>
    <t>利群(新版)</t>
  </si>
  <si>
    <t>33010503</t>
  </si>
  <si>
    <t>利群(长嘴)</t>
  </si>
  <si>
    <t>33010505</t>
  </si>
  <si>
    <t>利群(硬)</t>
  </si>
  <si>
    <t>33010506</t>
  </si>
  <si>
    <t>利群(软长嘴)</t>
  </si>
  <si>
    <t>33010511</t>
  </si>
  <si>
    <t>利群(软红长嘴)</t>
  </si>
  <si>
    <t>33010512</t>
  </si>
  <si>
    <t>利群(西子阳光)</t>
  </si>
  <si>
    <t>33010519</t>
  </si>
  <si>
    <t>利群(楼外楼)</t>
  </si>
  <si>
    <t>33010521</t>
  </si>
  <si>
    <t>利群(休闲细支)</t>
  </si>
  <si>
    <t>33010522</t>
  </si>
  <si>
    <t>利群(阳光尊中支)</t>
  </si>
  <si>
    <t>33010523</t>
  </si>
  <si>
    <t>利群(软蓝)</t>
  </si>
  <si>
    <t>33010524</t>
  </si>
  <si>
    <t>利群(阳光青中支)</t>
  </si>
  <si>
    <t>33010525</t>
  </si>
  <si>
    <t>利群(西湖恋)</t>
  </si>
  <si>
    <t>33010526</t>
  </si>
  <si>
    <t>利群(阳光细支)</t>
  </si>
  <si>
    <t>33010527</t>
  </si>
  <si>
    <t>利群(休闲银细支)</t>
  </si>
  <si>
    <t>34030321</t>
  </si>
  <si>
    <t>黄山(大红方印)</t>
  </si>
  <si>
    <t>34030325</t>
  </si>
  <si>
    <t>黄山(记忆)</t>
  </si>
  <si>
    <t>34030327</t>
  </si>
  <si>
    <t>黄山(红方印细支)</t>
  </si>
  <si>
    <t>34030331</t>
  </si>
  <si>
    <t>黄山(印象一品)</t>
  </si>
  <si>
    <t>34030333</t>
  </si>
  <si>
    <t>黄山(徽商新概念细支)</t>
  </si>
  <si>
    <t>34030334</t>
  </si>
  <si>
    <t>黄山(小红方印)</t>
  </si>
  <si>
    <t>34030336</t>
  </si>
  <si>
    <t>黄山(新制皖烟)</t>
  </si>
  <si>
    <t>34030337</t>
  </si>
  <si>
    <t>黄山(徽商新视界细支)</t>
  </si>
  <si>
    <t>34030338</t>
  </si>
  <si>
    <t>黄山(金皖烟)</t>
  </si>
  <si>
    <t>35020801</t>
  </si>
  <si>
    <t>金桥(软混)</t>
  </si>
  <si>
    <t>35020807</t>
  </si>
  <si>
    <t>金桥(炫影细支)</t>
  </si>
  <si>
    <t>35260102</t>
  </si>
  <si>
    <t>七匹狼(红)</t>
  </si>
  <si>
    <t>35260115</t>
  </si>
  <si>
    <t>七匹狼(蓝)</t>
  </si>
  <si>
    <t>35260119</t>
  </si>
  <si>
    <t>七匹狼(锋芒)</t>
  </si>
  <si>
    <t>35260124</t>
  </si>
  <si>
    <t>七匹狼(纯境)</t>
  </si>
  <si>
    <t>35260125</t>
  </si>
  <si>
    <t>七匹狼(英伦奶香)</t>
  </si>
  <si>
    <t>35260126</t>
  </si>
  <si>
    <t>七匹狼(银中支)</t>
  </si>
  <si>
    <t>36010119</t>
  </si>
  <si>
    <t>金圣(滕王阁·紫光)</t>
  </si>
  <si>
    <t>36010122</t>
  </si>
  <si>
    <t>金圣(青瓷)</t>
  </si>
  <si>
    <t>36010123</t>
  </si>
  <si>
    <t>金圣(吉品)</t>
  </si>
  <si>
    <t>36010124</t>
  </si>
  <si>
    <t>金圣(软)</t>
  </si>
  <si>
    <t>36010128</t>
  </si>
  <si>
    <t>金圣(滕王阁·更上一层楼)</t>
  </si>
  <si>
    <t>37010403</t>
  </si>
  <si>
    <t>泰山(颜悦)</t>
  </si>
  <si>
    <t>37010406</t>
  </si>
  <si>
    <t>泰山(茉莉香韵)</t>
  </si>
  <si>
    <t>37010410</t>
  </si>
  <si>
    <t>泰山(硬红八喜)</t>
  </si>
  <si>
    <t>37020601</t>
  </si>
  <si>
    <t>泰山(望岳)</t>
  </si>
  <si>
    <t>37020605</t>
  </si>
  <si>
    <t>泰山(红将军)</t>
  </si>
  <si>
    <t>37020609</t>
  </si>
  <si>
    <t>泰山(青秀)</t>
  </si>
  <si>
    <t>37020610</t>
  </si>
  <si>
    <t>泰山(心悦)</t>
  </si>
  <si>
    <t>37020619</t>
  </si>
  <si>
    <t>泰山(儒风细支)</t>
  </si>
  <si>
    <t>37020621</t>
  </si>
  <si>
    <t>泰山(合悦)</t>
  </si>
  <si>
    <t>41030707</t>
  </si>
  <si>
    <t>黄金叶(天叶)</t>
  </si>
  <si>
    <t>41030709</t>
  </si>
  <si>
    <t>黄金叶(金满堂)</t>
  </si>
  <si>
    <t>41030712</t>
  </si>
  <si>
    <t>黄金叶(爱尚)</t>
  </si>
  <si>
    <t>41030715</t>
  </si>
  <si>
    <t>黄金叶(天香细支)</t>
  </si>
  <si>
    <t>41030716</t>
  </si>
  <si>
    <t>黄金叶(喜满堂)</t>
  </si>
  <si>
    <t>41030717</t>
  </si>
  <si>
    <t>黄金叶(乐途)</t>
  </si>
  <si>
    <t>41030719</t>
  </si>
  <si>
    <t>黄金叶(天叶细支)</t>
  </si>
  <si>
    <t>41030720</t>
  </si>
  <si>
    <t>黄金叶(小目标)</t>
  </si>
  <si>
    <t>41030723</t>
  </si>
  <si>
    <t>黄金叶(乐途中支)</t>
  </si>
  <si>
    <t>41030725</t>
  </si>
  <si>
    <t>黄金叶(商鼎)</t>
  </si>
  <si>
    <t>41030726</t>
  </si>
  <si>
    <t>黄金叶(大成细支)</t>
  </si>
  <si>
    <t>41030728</t>
  </si>
  <si>
    <t>黄金叶(炫尚)</t>
  </si>
  <si>
    <t>41030729</t>
  </si>
  <si>
    <t>黄金叶(天叶细支3mg)</t>
  </si>
  <si>
    <t>42010401</t>
  </si>
  <si>
    <t>黄鹤楼(软蓝)</t>
  </si>
  <si>
    <t>42010409</t>
  </si>
  <si>
    <t>黄鹤楼(硬金砂)</t>
  </si>
  <si>
    <t>42010417</t>
  </si>
  <si>
    <t>黄鹤楼(天下名楼)</t>
  </si>
  <si>
    <t>42010422</t>
  </si>
  <si>
    <t>黄鹤楼(硬峡谷柔情)</t>
  </si>
  <si>
    <t>42010425</t>
  </si>
  <si>
    <t>黄鹤楼(硬平安)</t>
  </si>
  <si>
    <t>42010426</t>
  </si>
  <si>
    <t>黄鹤楼(硬峡谷情细支)</t>
  </si>
  <si>
    <t>42010427</t>
  </si>
  <si>
    <t>黄鹤楼(硬奇景)</t>
  </si>
  <si>
    <t>42010433</t>
  </si>
  <si>
    <t>黄鹤楼(硬1916如意)</t>
  </si>
  <si>
    <t>42010434</t>
  </si>
  <si>
    <t>黄鹤楼(软1916)</t>
  </si>
  <si>
    <t>42010435</t>
  </si>
  <si>
    <t>黄鹤楼(硬蓝)</t>
  </si>
  <si>
    <t>42010444</t>
  </si>
  <si>
    <t>黄鹤楼(视界)</t>
  </si>
  <si>
    <t>42010448</t>
  </si>
  <si>
    <t>黄鹤楼(视窗)</t>
  </si>
  <si>
    <t>42010453</t>
  </si>
  <si>
    <t>黄鹤楼(冰咖)</t>
  </si>
  <si>
    <t>42010455</t>
  </si>
  <si>
    <t>黄鹤楼(3mg)</t>
  </si>
  <si>
    <t>42010457</t>
  </si>
  <si>
    <t>黄鹤楼(1916小蜜蜂)</t>
  </si>
  <si>
    <t>43010104</t>
  </si>
  <si>
    <t>白沙(软)</t>
  </si>
  <si>
    <t>43010113</t>
  </si>
  <si>
    <t>白沙(硬天天向上细支)</t>
  </si>
  <si>
    <t>43010201</t>
  </si>
  <si>
    <t>白沙(和天下)</t>
  </si>
  <si>
    <t>43010204</t>
  </si>
  <si>
    <t>白沙(硬细支和天下)</t>
  </si>
  <si>
    <t>43010205</t>
  </si>
  <si>
    <t>白沙(软和天下)</t>
  </si>
  <si>
    <t>43010206</t>
  </si>
  <si>
    <t>白沙(硬新精品二代)</t>
  </si>
  <si>
    <t>43010207</t>
  </si>
  <si>
    <t>白沙(硬精品三代)</t>
  </si>
  <si>
    <t>43020106</t>
  </si>
  <si>
    <t>芙蓉王(硬)</t>
  </si>
  <si>
    <t>43020112</t>
  </si>
  <si>
    <t>芙蓉王(硬细支)</t>
  </si>
  <si>
    <t>43020118</t>
  </si>
  <si>
    <t>芙蓉王(锦绣细支)</t>
  </si>
  <si>
    <t>43020119</t>
  </si>
  <si>
    <t>芙蓉王(沁爽细支)</t>
  </si>
  <si>
    <t>43020120</t>
  </si>
  <si>
    <t>芙蓉王(绽放)</t>
  </si>
  <si>
    <t>43020121</t>
  </si>
  <si>
    <t>芙蓉王(品悦细支)</t>
  </si>
  <si>
    <t>43020122</t>
  </si>
  <si>
    <t>芙蓉王(硬中支)</t>
  </si>
  <si>
    <t>44100103</t>
  </si>
  <si>
    <t>双喜(硬经典1906)</t>
  </si>
  <si>
    <t>44100112</t>
  </si>
  <si>
    <t>双喜(莲香)</t>
  </si>
  <si>
    <t>44100115</t>
  </si>
  <si>
    <t>双喜(春天·咖路里)</t>
  </si>
  <si>
    <t>44100119</t>
  </si>
  <si>
    <t>双喜(好日子城市之光)</t>
  </si>
  <si>
    <t>45010211</t>
  </si>
  <si>
    <t>真龙(凌云)</t>
  </si>
  <si>
    <t>45010212</t>
  </si>
  <si>
    <t>真龙(美人香草)</t>
  </si>
  <si>
    <t>45600102</t>
  </si>
  <si>
    <t>双喜(硬祥云好日子)</t>
  </si>
  <si>
    <t>50010201</t>
  </si>
  <si>
    <t>天子(金)</t>
  </si>
  <si>
    <t>50010203</t>
  </si>
  <si>
    <t>天子(中支)</t>
  </si>
  <si>
    <t>50010204</t>
  </si>
  <si>
    <t>天子(C位)</t>
  </si>
  <si>
    <t>51010125</t>
  </si>
  <si>
    <t>娇子(格调细支)</t>
  </si>
  <si>
    <t>51010127</t>
  </si>
  <si>
    <t>娇子(宽窄好运细支)</t>
  </si>
  <si>
    <t>51010128</t>
  </si>
  <si>
    <t>娇子(宽窄平安中支)</t>
  </si>
  <si>
    <t>51010129</t>
  </si>
  <si>
    <t>娇子(五粮浓香中支)</t>
  </si>
  <si>
    <t>51010135</t>
  </si>
  <si>
    <t>娇子(五粮浓香细支)</t>
  </si>
  <si>
    <t>51010136</t>
  </si>
  <si>
    <t>娇子(蓝时代)</t>
  </si>
  <si>
    <t>51010137</t>
  </si>
  <si>
    <t>娇子(国宝之恋细支)</t>
  </si>
  <si>
    <t>51010138</t>
  </si>
  <si>
    <t>娇子(宽窄锦上细支)</t>
  </si>
  <si>
    <t>52010111</t>
  </si>
  <si>
    <t>贵烟(国酒香 30)</t>
  </si>
  <si>
    <t>52010117</t>
  </si>
  <si>
    <t>贵烟(新贵)</t>
  </si>
  <si>
    <t>52010118</t>
  </si>
  <si>
    <t>贵烟(跨越)</t>
  </si>
  <si>
    <t>52010121</t>
  </si>
  <si>
    <t>贵烟(细支国酒香30)</t>
  </si>
  <si>
    <t>52010122</t>
  </si>
  <si>
    <t>贵烟(萃)</t>
  </si>
  <si>
    <t>52010127</t>
  </si>
  <si>
    <t>贵烟(硬黄精品)</t>
  </si>
  <si>
    <t>52010304</t>
  </si>
  <si>
    <t>黄果树(佳品)</t>
  </si>
  <si>
    <t>53010707</t>
  </si>
  <si>
    <t>云烟(软珍品)</t>
  </si>
  <si>
    <t>53010708</t>
  </si>
  <si>
    <t>云烟(紫)</t>
  </si>
  <si>
    <t>53010711</t>
  </si>
  <si>
    <t>云烟(软如意)</t>
  </si>
  <si>
    <t>53010723</t>
  </si>
  <si>
    <t>云烟(软大重九)</t>
  </si>
  <si>
    <t>53010730</t>
  </si>
  <si>
    <t>云烟(细支大重九)</t>
  </si>
  <si>
    <t>53010732</t>
  </si>
  <si>
    <t>云烟(小熊猫家园)</t>
  </si>
  <si>
    <t>53010734</t>
  </si>
  <si>
    <t>云烟(细支云龙)</t>
  </si>
  <si>
    <t>53010737</t>
  </si>
  <si>
    <t>云烟(硬云龙)</t>
  </si>
  <si>
    <t>53010739</t>
  </si>
  <si>
    <t>云烟(流金印象细支)</t>
  </si>
  <si>
    <t>53010740</t>
  </si>
  <si>
    <t>云烟(中支小重九)</t>
  </si>
  <si>
    <t>53010741</t>
  </si>
  <si>
    <t>云烟(中支云龙)</t>
  </si>
  <si>
    <t>53010742</t>
  </si>
  <si>
    <t>云烟(黑金刚印象)</t>
  </si>
  <si>
    <t>53010745</t>
  </si>
  <si>
    <t>云烟(细支小重九)</t>
  </si>
  <si>
    <t>53010746</t>
  </si>
  <si>
    <t>云烟(细支筋斗云)</t>
  </si>
  <si>
    <t>53010747</t>
  </si>
  <si>
    <t>云烟(神秘花园)</t>
  </si>
  <si>
    <t>53020409</t>
  </si>
  <si>
    <t>红塔山(软经典)</t>
  </si>
  <si>
    <t>53020411</t>
  </si>
  <si>
    <t>红塔山(硬经典)</t>
  </si>
  <si>
    <t>53020412</t>
  </si>
  <si>
    <t>红塔山(硬经典100)</t>
  </si>
  <si>
    <t>53020422</t>
  </si>
  <si>
    <t>红塔山(细支传奇)</t>
  </si>
  <si>
    <t>53020601</t>
  </si>
  <si>
    <t>玉溪(硬)</t>
  </si>
  <si>
    <t>53020603</t>
  </si>
  <si>
    <t>玉溪(软)</t>
  </si>
  <si>
    <t>53020613</t>
  </si>
  <si>
    <t>玉溪(细支清香世家)</t>
  </si>
  <si>
    <t>53020619</t>
  </si>
  <si>
    <t>玉溪(鑫中支)</t>
  </si>
  <si>
    <t>53020621</t>
  </si>
  <si>
    <t>玉溪(细支)</t>
  </si>
  <si>
    <t>53020623</t>
  </si>
  <si>
    <t>玉溪(细支缤果爆)</t>
  </si>
  <si>
    <t>53090116</t>
  </si>
  <si>
    <t>红河(小熊猫世纪风)</t>
  </si>
  <si>
    <t>61010101</t>
  </si>
  <si>
    <t>好猫(细支长乐)</t>
  </si>
  <si>
    <t>61010102</t>
  </si>
  <si>
    <t>好猫(长乐九美)</t>
  </si>
  <si>
    <t>62010101</t>
  </si>
  <si>
    <t>兰州(硬精品)</t>
  </si>
  <si>
    <t>62010103</t>
  </si>
  <si>
    <t>兰州(硬珍品)</t>
  </si>
  <si>
    <t>62010108</t>
  </si>
  <si>
    <t>兰州(硬如意)</t>
  </si>
  <si>
    <t>62010109</t>
  </si>
  <si>
    <t>兰州(黑中支)</t>
  </si>
  <si>
    <t>63010201</t>
  </si>
  <si>
    <t>三沙(细支)</t>
  </si>
  <si>
    <t>63010202</t>
  </si>
  <si>
    <t>三沙(蓝)</t>
  </si>
  <si>
    <t>按需预订参数设定</t>
  </si>
  <si>
    <t>积分池情况</t>
  </si>
  <si>
    <t>基准积分</t>
  </si>
  <si>
    <t>分值</t>
  </si>
  <si>
    <t>权重</t>
  </si>
  <si>
    <t>预订基准积分</t>
  </si>
  <si>
    <t>销售基准积分</t>
  </si>
  <si>
    <t>按需预订品规列表</t>
  </si>
  <si>
    <t>编码</t>
  </si>
  <si>
    <t>名称</t>
  </si>
  <si>
    <t>市场价</t>
  </si>
  <si>
    <t>积分数</t>
  </si>
  <si>
    <t>平均市场价</t>
    <phoneticPr fontId="13" type="noConversion"/>
  </si>
  <si>
    <t>货源量合计</t>
  </si>
  <si>
    <t>箱条数</t>
  </si>
  <si>
    <t>上半年条数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</si>
</sst>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_ "/>
    <numFmt numFmtId="177" formatCode="#,##0_ "/>
    <numFmt numFmtId="178" formatCode="0.0_ ;[Red]\-0.0\ "/>
    <numFmt numFmtId="179" formatCode="0_ "/>
  </numFmts>
  <fonts count="14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6"/>
      <color theme="4"/>
      <name val="Microsoft YaHei"/>
      <charset val="134"/>
    </font>
    <font>
      <b/>
      <sz val="11"/>
      <color rgb="FF08090C"/>
      <name val="Microsoft YaHei"/>
      <charset val="134"/>
    </font>
    <font>
      <b/>
      <sz val="11"/>
      <name val="Microsoft YaHei"/>
      <charset val="134"/>
    </font>
    <font>
      <sz val="11"/>
      <name val="宋体"/>
      <charset val="134"/>
      <scheme val="minor"/>
    </font>
    <font>
      <sz val="10"/>
      <name val="Microsoft YaHei"/>
      <charset val="134"/>
    </font>
    <font>
      <sz val="11"/>
      <name val="Microsoft YaHei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Microsoft YaHei"/>
      <charset val="134"/>
    </font>
    <font>
      <sz val="10"/>
      <color rgb="FF000000"/>
      <name val="Microsoft YaHei"/>
      <family val="2"/>
      <charset val="134"/>
    </font>
    <font>
      <sz val="12"/>
      <name val="宋体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 tint="0.65999328592791529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5999328592791529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 tint="0.65999328592791529"/>
      </bottom>
      <diagonal/>
    </border>
    <border>
      <left style="thin">
        <color theme="4"/>
      </left>
      <right style="thin">
        <color theme="4" tint="0.65999328592791529"/>
      </right>
      <top/>
      <bottom style="thin">
        <color theme="4" tint="0.65999328592791529"/>
      </bottom>
      <diagonal/>
    </border>
    <border>
      <left style="thin">
        <color theme="4" tint="0.65999328592791529"/>
      </left>
      <right style="thin">
        <color theme="4" tint="0.65999328592791529"/>
      </right>
      <top/>
      <bottom style="thin">
        <color theme="4" tint="0.65999328592791529"/>
      </bottom>
      <diagonal/>
    </border>
    <border>
      <left style="thin">
        <color theme="4" tint="0.65999328592791529"/>
      </left>
      <right style="thin">
        <color theme="4"/>
      </right>
      <top/>
      <bottom style="thin">
        <color theme="4" tint="0.65999328592791529"/>
      </bottom>
      <diagonal/>
    </border>
    <border>
      <left style="thin">
        <color theme="4"/>
      </left>
      <right style="thin">
        <color theme="4" tint="0.65999328592791529"/>
      </right>
      <top/>
      <bottom style="thin">
        <color theme="4"/>
      </bottom>
      <diagonal/>
    </border>
    <border>
      <left style="thin">
        <color theme="4" tint="0.65999328592791529"/>
      </left>
      <right style="thin">
        <color theme="4" tint="0.65999328592791529"/>
      </right>
      <top/>
      <bottom style="thin">
        <color theme="4"/>
      </bottom>
      <diagonal/>
    </border>
    <border>
      <left style="thin">
        <color theme="4" tint="0.65999328592791529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 tint="0.65999328592791529"/>
      </right>
      <top style="thin">
        <color theme="4" tint="0.65999328592791529"/>
      </top>
      <bottom style="thin">
        <color theme="4"/>
      </bottom>
      <diagonal/>
    </border>
    <border>
      <left style="thin">
        <color theme="4" tint="0.65999328592791529"/>
      </left>
      <right style="thin">
        <color theme="4" tint="0.65999328592791529"/>
      </right>
      <top style="thin">
        <color theme="4" tint="0.65999328592791529"/>
      </top>
      <bottom style="thin">
        <color theme="4"/>
      </bottom>
      <diagonal/>
    </border>
    <border>
      <left style="thin">
        <color theme="4" tint="0.65999328592791529"/>
      </left>
      <right style="thin">
        <color theme="4"/>
      </right>
      <top style="thin">
        <color theme="4" tint="0.65999328592791529"/>
      </top>
      <bottom style="thin">
        <color theme="4"/>
      </bottom>
      <diagonal/>
    </border>
    <border>
      <left style="thin">
        <color theme="4"/>
      </left>
      <right style="thin">
        <color theme="4" tint="0.65999328592791529"/>
      </right>
      <top style="thin">
        <color theme="4" tint="0.65999328592791529"/>
      </top>
      <bottom style="thin">
        <color theme="4" tint="0.65999328592791529"/>
      </bottom>
      <diagonal/>
    </border>
    <border>
      <left style="thin">
        <color theme="4" tint="0.65999328592791529"/>
      </left>
      <right style="thin">
        <color theme="4" tint="0.65999328592791529"/>
      </right>
      <top style="thin">
        <color theme="4" tint="0.65999328592791529"/>
      </top>
      <bottom style="thin">
        <color theme="4" tint="0.65999328592791529"/>
      </bottom>
      <diagonal/>
    </border>
    <border>
      <left style="thin">
        <color theme="4" tint="0.65999328592791529"/>
      </left>
      <right style="thin">
        <color theme="4"/>
      </right>
      <top style="thin">
        <color theme="4" tint="0.65999328592791529"/>
      </top>
      <bottom style="thin">
        <color theme="4" tint="0.659993285927915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2" fillId="0" borderId="0"/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1" fillId="3" borderId="7" xfId="0" applyNumberFormat="1" applyFont="1" applyFill="1" applyBorder="1" applyAlignment="1">
      <alignment horizontal="center" vertical="center" wrapText="1"/>
    </xf>
    <xf numFmtId="3" fontId="1" fillId="3" borderId="8" xfId="0" applyNumberFormat="1" applyFont="1" applyFill="1" applyBorder="1" applyAlignment="1">
      <alignment horizontal="center" vertical="center" wrapText="1"/>
    </xf>
    <xf numFmtId="3" fontId="1" fillId="3" borderId="9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176" fontId="1" fillId="3" borderId="5" xfId="0" applyNumberFormat="1" applyFont="1" applyFill="1" applyBorder="1" applyAlignment="1">
      <alignment horizontal="center" vertical="center" wrapText="1"/>
    </xf>
    <xf numFmtId="177" fontId="1" fillId="3" borderId="5" xfId="0" applyNumberFormat="1" applyFont="1" applyFill="1" applyBorder="1" applyAlignment="1">
      <alignment horizontal="center" vertical="center" wrapText="1"/>
    </xf>
    <xf numFmtId="177" fontId="1" fillId="3" borderId="6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76" fontId="1" fillId="3" borderId="14" xfId="0" applyNumberFormat="1" applyFont="1" applyFill="1" applyBorder="1" applyAlignment="1">
      <alignment horizontal="center" vertical="center" wrapText="1"/>
    </xf>
    <xf numFmtId="177" fontId="1" fillId="3" borderId="14" xfId="0" applyNumberFormat="1" applyFont="1" applyFill="1" applyBorder="1" applyAlignment="1">
      <alignment horizontal="center" vertical="center" wrapText="1"/>
    </xf>
    <xf numFmtId="177" fontId="1" fillId="3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1" fillId="3" borderId="11" xfId="0" applyNumberFormat="1" applyFont="1" applyFill="1" applyBorder="1" applyAlignment="1">
      <alignment horizontal="center" vertical="center" wrapText="1"/>
    </xf>
    <xf numFmtId="177" fontId="1" fillId="3" borderId="11" xfId="0" applyNumberFormat="1" applyFont="1" applyFill="1" applyBorder="1" applyAlignment="1">
      <alignment horizontal="center" vertical="center" wrapText="1"/>
    </xf>
    <xf numFmtId="177" fontId="1" fillId="3" borderId="12" xfId="0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" fillId="3" borderId="16" xfId="2" applyFont="1" applyFill="1" applyBorder="1" applyAlignment="1">
      <alignment horizontal="center" vertical="center" wrapText="1"/>
    </xf>
    <xf numFmtId="178" fontId="1" fillId="3" borderId="16" xfId="0" applyNumberFormat="1" applyFont="1" applyFill="1" applyBorder="1" applyAlignment="1">
      <alignment horizontal="center" vertical="center" wrapText="1"/>
    </xf>
    <xf numFmtId="176" fontId="1" fillId="3" borderId="16" xfId="0" applyNumberFormat="1" applyFont="1" applyFill="1" applyBorder="1" applyAlignment="1">
      <alignment horizontal="center" vertical="center" wrapText="1"/>
    </xf>
    <xf numFmtId="179" fontId="11" fillId="3" borderId="16" xfId="0" applyNumberFormat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</cellXfs>
  <cellStyles count="3">
    <cellStyle name="常规" xfId="0" builtinId="0"/>
    <cellStyle name="常规 100 2" xfId="2" xr:uid="{00000000-0005-0000-0000-000032000000}"/>
    <cellStyle name="常规 6 2" xfId="1" xr:uid="{00000000-0005-0000-0000-000031000000}"/>
  </cellStyles>
  <dxfs count="6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theme="4" tint="0.89999084444715716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/>
        <u val="none"/>
        <color rgb="FF08090C"/>
      </font>
      <fill>
        <patternFill patternType="solid">
          <bgColor theme="4" tint="0.59999389629810485"/>
        </patternFill>
      </fill>
    </dxf>
    <dxf>
      <font>
        <b/>
        <u val="none"/>
        <color theme="4"/>
      </font>
      <fill>
        <patternFill patternType="solid">
          <bgColor theme="4" tint="0.59999389629810485"/>
        </patternFill>
      </fill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ck">
          <color theme="4"/>
        </bottom>
        <vertical/>
        <horizontal/>
      </border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theme="4" tint="0.89999084444715716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theme="4"/>
      </font>
      <fill>
        <patternFill patternType="solid">
          <bgColor theme="0" tint="-9.9978637043366805E-2"/>
        </patternFill>
      </fill>
    </dxf>
    <dxf>
      <font>
        <b/>
        <u val="none"/>
        <color theme="4"/>
      </font>
      <fill>
        <patternFill patternType="solid">
          <bgColor theme="0" tint="-9.9978637043366805E-2"/>
        </patternFill>
      </fill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theme="4" tint="0.79998168889431442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5999328592791529"/>
        </left>
        <right style="thin">
          <color theme="4"/>
        </right>
        <top style="thin">
          <color theme="4" tint="0.65999328592791529"/>
        </top>
        <bottom style="thin">
          <color theme="4"/>
        </bottom>
        <vertical/>
        <horizontal style="thin">
          <color theme="4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5999328592791529"/>
        </right>
        <top style="thin">
          <color theme="4" tint="0.65999328592791529"/>
        </top>
        <bottom style="thin">
          <color theme="4"/>
        </bottom>
        <vertical/>
        <horizontal style="thin">
          <color theme="4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5999328592791529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5999328592791529"/>
        </vertical>
        <horizontal style="thin">
          <color theme="4" tint="0.65999328592791529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8" defaultTableStyle="TableStylePreset3_Accent1" defaultPivotStyle="PivotStylePreset2_Accent1">
    <tableStyle name="TableStylePreset3_Accent1" pivot="0" count="7" xr9:uid="{59DB682C-5494-4EDE-A608-00C9E5F0F923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浅色系标题行表格样式_b4126a" count="10" xr9:uid="{697C8C96-5044-4995-9DFC-1615BE0065B6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secondRowStripe" dxfId="54"/>
      <tableStyleElement type="firstColumnStripe" dxfId="53"/>
      <tableStyleElement type="secondColumnStripe" dxfId="52"/>
      <tableStyleElement type="firstTotalCell" dxfId="51"/>
      <tableStyleElement type="lastTotalCell" dxfId="50"/>
    </tableStyle>
    <tableStyle name="简约边框浅色系标题行镶边行表格样式_85b9f4" count="10" xr9:uid="{B6B70FD4-BB5D-478C-B42D-EEB7A89050F2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secondRowStripe" dxfId="44"/>
      <tableStyleElement type="firstColumnStripe" dxfId="43"/>
      <tableStyleElement type="secondColumnStripe" dxfId="42"/>
      <tableStyleElement type="firstTotalCell" dxfId="41"/>
      <tableStyleElement type="lastTotalCell" dxfId="40"/>
    </tableStyle>
    <tableStyle name="三线式标题行镶边行表格样式_5ef0b6" count="9" xr9:uid="{82B40148-1710-4AC2-B42C-C05CA816E57E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secondRowStripe" dxfId="34"/>
      <tableStyleElement type="firstColumnStripe" dxfId="33"/>
      <tableStyleElement type="firstHeaderCell" dxfId="32"/>
      <tableStyleElement type="lastHeaderCell" dxfId="31"/>
    </tableStyle>
    <tableStyle name="中色系标题行镶边行表格样式_6e22f3" count="7" xr9:uid="{199AF949-AEF6-4C36-BEC1-04269A803717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  <tableStyle name="三线式标题行表格样式_a64ba4" count="7" xr9:uid="{5611931E-01BF-48B5-8193-2584132DB65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</tableStyle>
    <tableStyle name="中色系标题行镶边列表格样式_e714ff" count="7" xr9:uid="{120CA41F-36DC-4FD6-BEF1-C1DF8C01FEB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O3" sqref="O3"/>
    </sheetView>
  </sheetViews>
  <sheetFormatPr defaultColWidth="8.77734375" defaultRowHeight="14.4"/>
  <cols>
    <col min="1" max="1" width="13.77734375" style="35" customWidth="1"/>
    <col min="2" max="2" width="13" style="35" customWidth="1"/>
    <col min="3" max="3" width="27" style="35" customWidth="1"/>
    <col min="4" max="4" width="11" style="36" customWidth="1"/>
    <col min="5" max="5" width="11.33203125" style="36" customWidth="1"/>
    <col min="6" max="6" width="12.33203125" style="35" customWidth="1"/>
    <col min="7" max="7" width="17" customWidth="1"/>
    <col min="8" max="8" width="12.33203125" customWidth="1"/>
    <col min="9" max="9" width="12.109375" customWidth="1"/>
    <col min="10" max="10" width="10.6640625" customWidth="1"/>
    <col min="11" max="11" width="10.44140625" customWidth="1"/>
    <col min="12" max="12" width="15" customWidth="1"/>
    <col min="13" max="13" width="11" customWidth="1"/>
    <col min="14" max="14" width="15" customWidth="1"/>
  </cols>
  <sheetData>
    <row r="1" spans="1:14" ht="28.5" customHeight="1">
      <c r="A1" s="47" t="s">
        <v>0</v>
      </c>
      <c r="B1" s="47"/>
      <c r="C1" s="47"/>
      <c r="D1" s="47"/>
      <c r="E1" s="47"/>
      <c r="F1" s="47"/>
      <c r="G1" s="46" t="s">
        <v>1</v>
      </c>
      <c r="H1" s="46" t="s">
        <v>2</v>
      </c>
      <c r="I1" s="46" t="s">
        <v>3</v>
      </c>
      <c r="J1" s="47" t="s">
        <v>4</v>
      </c>
      <c r="K1" s="47"/>
      <c r="L1" s="47" t="s">
        <v>472</v>
      </c>
      <c r="M1" s="47"/>
      <c r="N1" s="47"/>
    </row>
    <row r="2" spans="1:14" ht="22.5" customHeight="1">
      <c r="A2" s="37"/>
      <c r="B2" s="37"/>
      <c r="C2" s="37"/>
      <c r="D2" s="37"/>
      <c r="E2" s="37"/>
      <c r="F2" s="37"/>
      <c r="G2" s="37" t="s">
        <v>5</v>
      </c>
      <c r="H2" s="37" t="s">
        <v>8</v>
      </c>
      <c r="I2" s="37"/>
      <c r="J2" s="37"/>
      <c r="K2" s="37"/>
      <c r="L2" s="37"/>
      <c r="M2" s="37"/>
      <c r="N2" s="37"/>
    </row>
    <row r="3" spans="1:14" ht="22.5" customHeight="1">
      <c r="A3" s="38"/>
      <c r="B3" s="38"/>
      <c r="C3" s="38"/>
      <c r="D3" s="38"/>
      <c r="E3" s="38"/>
      <c r="F3" s="38"/>
      <c r="G3" s="38">
        <f>_xlfn.STDEV.S(G5:G218)</f>
        <v>64.160601663729437</v>
      </c>
      <c r="H3" s="38"/>
      <c r="I3" s="38"/>
      <c r="J3" s="38"/>
      <c r="K3" s="38"/>
      <c r="L3" s="38"/>
      <c r="M3" s="38"/>
      <c r="N3" s="38"/>
    </row>
    <row r="4" spans="1:14" ht="39" customHeight="1">
      <c r="A4" s="39" t="s">
        <v>12</v>
      </c>
      <c r="B4" s="39" t="s">
        <v>13</v>
      </c>
      <c r="C4" s="39" t="s">
        <v>14</v>
      </c>
      <c r="D4" s="39" t="s">
        <v>15</v>
      </c>
      <c r="E4" s="39" t="s">
        <v>471</v>
      </c>
      <c r="F4" s="39" t="s">
        <v>16</v>
      </c>
      <c r="G4" s="40" t="s">
        <v>17</v>
      </c>
      <c r="H4" s="40" t="s">
        <v>18</v>
      </c>
      <c r="I4" s="40" t="s">
        <v>19</v>
      </c>
      <c r="J4" s="40" t="s">
        <v>20</v>
      </c>
      <c r="K4" s="40" t="s">
        <v>21</v>
      </c>
      <c r="L4" s="37" t="s">
        <v>24</v>
      </c>
      <c r="M4" s="37" t="s">
        <v>473</v>
      </c>
      <c r="N4" s="37" t="s">
        <v>474</v>
      </c>
    </row>
    <row r="5" spans="1:14" ht="22.5" customHeight="1">
      <c r="A5" s="41" t="s">
        <v>27</v>
      </c>
      <c r="B5" s="41">
        <v>1</v>
      </c>
      <c r="C5" s="41" t="s">
        <v>28</v>
      </c>
      <c r="D5" s="41">
        <v>80</v>
      </c>
      <c r="E5" s="42">
        <v>80.346153846153797</v>
      </c>
      <c r="F5" s="41" t="s">
        <v>29</v>
      </c>
      <c r="G5" s="38">
        <f t="shared" ref="G5:G68" si="0">E5-D5</f>
        <v>0.34615384615379696</v>
      </c>
      <c r="H5" s="43">
        <v>9.6919819787525396E-2</v>
      </c>
      <c r="I5" s="43">
        <v>6.2467071763987603</v>
      </c>
      <c r="J5" s="43">
        <v>1.5</v>
      </c>
      <c r="K5" s="43">
        <v>0.94438411359851204</v>
      </c>
      <c r="L5" s="38">
        <v>904.4</v>
      </c>
      <c r="M5" s="38">
        <v>4.0000000000000001E-3</v>
      </c>
      <c r="N5" s="38">
        <v>226100</v>
      </c>
    </row>
    <row r="6" spans="1:14" ht="22.5" customHeight="1">
      <c r="A6" s="41" t="s">
        <v>30</v>
      </c>
      <c r="B6" s="41"/>
      <c r="C6" s="41" t="s">
        <v>31</v>
      </c>
      <c r="D6" s="41">
        <v>175</v>
      </c>
      <c r="E6" s="42">
        <v>171.21428571428601</v>
      </c>
      <c r="F6" s="41" t="s">
        <v>32</v>
      </c>
      <c r="G6" s="38">
        <f t="shared" si="0"/>
        <v>-3.7857142857139934</v>
      </c>
      <c r="H6" s="43">
        <v>0.76986268331449803</v>
      </c>
      <c r="I6" s="43">
        <v>1.3564798335397E-2</v>
      </c>
      <c r="J6" s="43">
        <v>2</v>
      </c>
      <c r="K6" s="43">
        <v>0.94230171839699794</v>
      </c>
      <c r="L6" s="38">
        <v>165</v>
      </c>
      <c r="M6" s="38">
        <v>4.0000000000000001E-3</v>
      </c>
      <c r="N6" s="38">
        <v>41250</v>
      </c>
    </row>
    <row r="7" spans="1:14" ht="22.5" customHeight="1">
      <c r="A7" s="41" t="s">
        <v>33</v>
      </c>
      <c r="B7" s="41"/>
      <c r="C7" s="41" t="s">
        <v>34</v>
      </c>
      <c r="D7" s="41">
        <v>121.9</v>
      </c>
      <c r="E7" s="42">
        <v>117.615384615385</v>
      </c>
      <c r="F7" s="41" t="s">
        <v>35</v>
      </c>
      <c r="G7" s="38">
        <f t="shared" si="0"/>
        <v>-4.2846153846150088</v>
      </c>
      <c r="H7" s="43">
        <v>0.49369022953064301</v>
      </c>
      <c r="I7" s="43">
        <v>2.2365056019407499</v>
      </c>
      <c r="J7" s="43">
        <v>1</v>
      </c>
      <c r="K7" s="43">
        <v>0.97293280046772401</v>
      </c>
      <c r="L7" s="38">
        <v>218</v>
      </c>
      <c r="M7" s="38">
        <v>4.0000000000000001E-3</v>
      </c>
      <c r="N7" s="38">
        <v>54500</v>
      </c>
    </row>
    <row r="8" spans="1:14" ht="22.5" customHeight="1">
      <c r="A8" s="41" t="s">
        <v>36</v>
      </c>
      <c r="B8" s="41"/>
      <c r="C8" s="41" t="s">
        <v>37</v>
      </c>
      <c r="D8" s="41">
        <v>201.4</v>
      </c>
      <c r="E8" s="42">
        <v>201.30769230769201</v>
      </c>
      <c r="F8" s="41" t="s">
        <v>32</v>
      </c>
      <c r="G8" s="38">
        <f t="shared" si="0"/>
        <v>-9.2307692307997513E-2</v>
      </c>
      <c r="H8" s="43">
        <v>0.85237159385952399</v>
      </c>
      <c r="I8" s="43">
        <v>1.98497463255665</v>
      </c>
      <c r="J8" s="43">
        <v>2</v>
      </c>
      <c r="K8" s="43">
        <v>0.92108187843484401</v>
      </c>
      <c r="L8" s="38">
        <v>444.7</v>
      </c>
      <c r="M8" s="38">
        <v>4.0000000000000001E-3</v>
      </c>
      <c r="N8" s="38">
        <v>111175</v>
      </c>
    </row>
    <row r="9" spans="1:14" ht="22.5" customHeight="1">
      <c r="A9" s="41" t="s">
        <v>38</v>
      </c>
      <c r="B9" s="41"/>
      <c r="C9" s="41" t="s">
        <v>39</v>
      </c>
      <c r="D9" s="41">
        <v>225</v>
      </c>
      <c r="E9" s="42">
        <v>163.461538461538</v>
      </c>
      <c r="F9" s="41" t="s">
        <v>32</v>
      </c>
      <c r="G9" s="38">
        <f t="shared" si="0"/>
        <v>-61.538461538462002</v>
      </c>
      <c r="H9" s="43">
        <v>0.75758976681326295</v>
      </c>
      <c r="I9" s="43">
        <v>5.9302154103757996</v>
      </c>
      <c r="J9" s="43">
        <v>2</v>
      </c>
      <c r="K9" s="43">
        <v>0.90477013132152895</v>
      </c>
      <c r="L9" s="38">
        <v>75.8</v>
      </c>
      <c r="M9" s="38">
        <v>4.0000000000000001E-3</v>
      </c>
      <c r="N9" s="38">
        <v>18950</v>
      </c>
    </row>
    <row r="10" spans="1:14" ht="22.5" customHeight="1">
      <c r="A10" s="41" t="s">
        <v>40</v>
      </c>
      <c r="B10" s="41">
        <v>1</v>
      </c>
      <c r="C10" s="41" t="s">
        <v>41</v>
      </c>
      <c r="D10" s="41">
        <v>53</v>
      </c>
      <c r="E10" s="42">
        <v>90.461538461538495</v>
      </c>
      <c r="F10" s="41" t="s">
        <v>29</v>
      </c>
      <c r="G10" s="38">
        <f t="shared" si="0"/>
        <v>37.461538461538495</v>
      </c>
      <c r="H10" s="43">
        <v>0.65951483411808598</v>
      </c>
      <c r="I10" s="43">
        <v>1.7935607057759899</v>
      </c>
      <c r="J10" s="43">
        <v>1.5</v>
      </c>
      <c r="K10" s="43">
        <v>0.96253086019995004</v>
      </c>
      <c r="L10" s="38">
        <v>5000</v>
      </c>
      <c r="M10" s="38">
        <v>4.0000000000000001E-3</v>
      </c>
      <c r="N10" s="38">
        <v>1250000</v>
      </c>
    </row>
    <row r="11" spans="1:14" ht="22.5" customHeight="1">
      <c r="A11" s="41" t="s">
        <v>42</v>
      </c>
      <c r="B11" s="41">
        <v>1</v>
      </c>
      <c r="C11" s="41" t="s">
        <v>43</v>
      </c>
      <c r="D11" s="41">
        <v>551.20000000000005</v>
      </c>
      <c r="E11" s="42">
        <v>517.69230769230796</v>
      </c>
      <c r="F11" s="41" t="s">
        <v>35</v>
      </c>
      <c r="G11" s="38">
        <f t="shared" si="0"/>
        <v>-33.507692307692082</v>
      </c>
      <c r="H11" s="43">
        <v>0.726439203837138</v>
      </c>
      <c r="I11" s="43">
        <v>3.2418020466915598</v>
      </c>
      <c r="J11" s="43">
        <v>1</v>
      </c>
      <c r="K11" s="43">
        <v>0.90703674369864595</v>
      </c>
      <c r="L11" s="38">
        <v>424.1</v>
      </c>
      <c r="M11" s="38">
        <v>4.0000000000000001E-3</v>
      </c>
      <c r="N11" s="38">
        <v>106025</v>
      </c>
    </row>
    <row r="12" spans="1:14" ht="22.5" customHeight="1">
      <c r="A12" s="41" t="s">
        <v>44</v>
      </c>
      <c r="B12" s="41"/>
      <c r="C12" s="41" t="s">
        <v>45</v>
      </c>
      <c r="D12" s="41">
        <v>44.5</v>
      </c>
      <c r="E12" s="42">
        <v>66.769230769230802</v>
      </c>
      <c r="F12" s="41" t="s">
        <v>46</v>
      </c>
      <c r="G12" s="38">
        <f t="shared" si="0"/>
        <v>22.269230769230802</v>
      </c>
      <c r="H12" s="43">
        <v>0.24756882819311399</v>
      </c>
      <c r="I12" s="43">
        <v>2.0356777608004402</v>
      </c>
      <c r="J12" s="43">
        <v>0.9</v>
      </c>
      <c r="K12" s="43">
        <v>0.98189676956396799</v>
      </c>
      <c r="L12" s="38">
        <v>6350</v>
      </c>
      <c r="M12" s="38">
        <v>4.0000000000000001E-3</v>
      </c>
      <c r="N12" s="38">
        <v>1587500</v>
      </c>
    </row>
    <row r="13" spans="1:14" ht="22.5" customHeight="1">
      <c r="A13" s="41" t="s">
        <v>47</v>
      </c>
      <c r="B13" s="41"/>
      <c r="C13" s="41" t="s">
        <v>48</v>
      </c>
      <c r="D13" s="41">
        <v>275.60000000000002</v>
      </c>
      <c r="E13" s="42">
        <v>301.38461538461502</v>
      </c>
      <c r="F13" s="41" t="s">
        <v>35</v>
      </c>
      <c r="G13" s="38">
        <f t="shared" si="0"/>
        <v>25.784615384614995</v>
      </c>
      <c r="H13" s="43">
        <v>0.150383694417591</v>
      </c>
      <c r="I13" s="43">
        <v>2.9873625669592601</v>
      </c>
      <c r="J13" s="43">
        <v>1</v>
      </c>
      <c r="K13" s="43">
        <v>0.94222574242596102</v>
      </c>
      <c r="L13" s="38">
        <v>6062</v>
      </c>
      <c r="M13" s="38">
        <v>4.0000000000000001E-3</v>
      </c>
      <c r="N13" s="38">
        <v>1515500</v>
      </c>
    </row>
    <row r="14" spans="1:14" ht="22.5" customHeight="1">
      <c r="A14" s="41" t="s">
        <v>49</v>
      </c>
      <c r="B14" s="41"/>
      <c r="C14" s="41" t="s">
        <v>50</v>
      </c>
      <c r="D14" s="41">
        <v>360.4</v>
      </c>
      <c r="E14" s="42">
        <v>354.92307692307702</v>
      </c>
      <c r="F14" s="41" t="s">
        <v>35</v>
      </c>
      <c r="G14" s="38">
        <f t="shared" si="0"/>
        <v>-5.476923076922958</v>
      </c>
      <c r="H14" s="43">
        <v>0.36049866895872301</v>
      </c>
      <c r="I14" s="43">
        <v>2.7004510173285401</v>
      </c>
      <c r="J14" s="43">
        <v>1</v>
      </c>
      <c r="K14" s="43">
        <v>0.92772331214097203</v>
      </c>
      <c r="L14" s="38">
        <v>682</v>
      </c>
      <c r="M14" s="38">
        <v>4.0000000000000001E-3</v>
      </c>
      <c r="N14" s="38">
        <v>170500</v>
      </c>
    </row>
    <row r="15" spans="1:14" ht="22.5" customHeight="1">
      <c r="A15" s="41" t="s">
        <v>51</v>
      </c>
      <c r="B15" s="41"/>
      <c r="C15" s="41" t="s">
        <v>52</v>
      </c>
      <c r="D15" s="41">
        <v>339.2</v>
      </c>
      <c r="E15" s="42">
        <v>336.30769230769198</v>
      </c>
      <c r="F15" s="41" t="s">
        <v>35</v>
      </c>
      <c r="G15" s="38">
        <f t="shared" si="0"/>
        <v>-2.8923076923080089</v>
      </c>
      <c r="H15" s="43">
        <v>0.440641172393472</v>
      </c>
      <c r="I15" s="43">
        <v>5.92152719056193</v>
      </c>
      <c r="J15" s="43">
        <v>1</v>
      </c>
      <c r="K15" s="43">
        <v>0.96173861425775997</v>
      </c>
      <c r="L15" s="38">
        <v>1020</v>
      </c>
      <c r="M15" s="38">
        <v>4.0000000000000001E-3</v>
      </c>
      <c r="N15" s="38">
        <v>255000</v>
      </c>
    </row>
    <row r="16" spans="1:14" ht="22.5" customHeight="1">
      <c r="A16" s="41" t="s">
        <v>53</v>
      </c>
      <c r="B16" s="41"/>
      <c r="C16" s="41" t="s">
        <v>54</v>
      </c>
      <c r="D16" s="41">
        <v>114.5</v>
      </c>
      <c r="E16" s="42">
        <v>124.230769230769</v>
      </c>
      <c r="F16" s="41" t="s">
        <v>46</v>
      </c>
      <c r="G16" s="38">
        <f t="shared" si="0"/>
        <v>9.730769230768999</v>
      </c>
      <c r="H16" s="43">
        <v>0.43642170217322201</v>
      </c>
      <c r="I16" s="43">
        <v>9.3107400025897906</v>
      </c>
      <c r="J16" s="43">
        <v>0.9</v>
      </c>
      <c r="K16" s="43">
        <v>0.97285876269831595</v>
      </c>
      <c r="L16" s="38">
        <v>254</v>
      </c>
      <c r="M16" s="38">
        <v>4.0000000000000001E-3</v>
      </c>
      <c r="N16" s="38">
        <v>63500</v>
      </c>
    </row>
    <row r="17" spans="1:14" ht="22.5" customHeight="1">
      <c r="A17" s="41" t="s">
        <v>55</v>
      </c>
      <c r="B17" s="41"/>
      <c r="C17" s="41" t="s">
        <v>56</v>
      </c>
      <c r="D17" s="41">
        <v>97</v>
      </c>
      <c r="E17" s="42">
        <v>106.615384615385</v>
      </c>
      <c r="F17" s="41" t="s">
        <v>46</v>
      </c>
      <c r="G17" s="38">
        <f t="shared" si="0"/>
        <v>9.6153846153849969</v>
      </c>
      <c r="H17" s="43">
        <v>0.25004995789234802</v>
      </c>
      <c r="I17" s="43">
        <v>6.6166026141275598</v>
      </c>
      <c r="J17" s="43">
        <v>0.9</v>
      </c>
      <c r="K17" s="43">
        <v>0.95718830437492997</v>
      </c>
      <c r="L17" s="38">
        <v>112</v>
      </c>
      <c r="M17" s="38">
        <v>4.0000000000000001E-3</v>
      </c>
      <c r="N17" s="38">
        <v>28000</v>
      </c>
    </row>
    <row r="18" spans="1:14" ht="22.5" customHeight="1">
      <c r="A18" s="44" t="s">
        <v>57</v>
      </c>
      <c r="B18" s="44"/>
      <c r="C18" s="45" t="s">
        <v>58</v>
      </c>
      <c r="D18" s="41">
        <v>470</v>
      </c>
      <c r="E18" s="42">
        <v>456.34615384615398</v>
      </c>
      <c r="F18" s="41" t="s">
        <v>32</v>
      </c>
      <c r="G18" s="38">
        <f t="shared" si="0"/>
        <v>-13.653846153846018</v>
      </c>
      <c r="H18" s="43">
        <v>0.21256573925109801</v>
      </c>
      <c r="I18" s="43">
        <v>2.6034055393534699</v>
      </c>
      <c r="J18" s="43">
        <v>2</v>
      </c>
      <c r="K18" s="43">
        <v>0.92936447301930503</v>
      </c>
      <c r="L18" s="38">
        <v>50</v>
      </c>
      <c r="M18" s="38">
        <v>4.0000000000000001E-3</v>
      </c>
      <c r="N18" s="38">
        <v>12500</v>
      </c>
    </row>
    <row r="19" spans="1:14" ht="22.5" customHeight="1">
      <c r="A19" s="41" t="s">
        <v>59</v>
      </c>
      <c r="B19" s="41"/>
      <c r="C19" s="41" t="s">
        <v>60</v>
      </c>
      <c r="D19" s="41">
        <v>424</v>
      </c>
      <c r="E19" s="42">
        <v>369.10769230769199</v>
      </c>
      <c r="F19" s="41" t="s">
        <v>46</v>
      </c>
      <c r="G19" s="38">
        <f t="shared" si="0"/>
        <v>-54.892307692308009</v>
      </c>
      <c r="H19" s="43">
        <v>0.67372751047867296</v>
      </c>
      <c r="I19" s="43">
        <v>8.44408499037241</v>
      </c>
      <c r="J19" s="43">
        <v>0.9</v>
      </c>
      <c r="K19" s="43">
        <v>0.95079413412353198</v>
      </c>
      <c r="L19" s="38">
        <v>69.7</v>
      </c>
      <c r="M19" s="38">
        <v>4.0000000000000001E-3</v>
      </c>
      <c r="N19" s="38">
        <v>17425</v>
      </c>
    </row>
    <row r="20" spans="1:14" ht="22.5" customHeight="1">
      <c r="A20" s="41" t="s">
        <v>61</v>
      </c>
      <c r="B20" s="41"/>
      <c r="C20" s="41" t="s">
        <v>62</v>
      </c>
      <c r="D20" s="41">
        <v>339.2</v>
      </c>
      <c r="E20" s="42">
        <v>309.69230769230802</v>
      </c>
      <c r="F20" s="41" t="s">
        <v>46</v>
      </c>
      <c r="G20" s="38">
        <f t="shared" si="0"/>
        <v>-29.507692307691968</v>
      </c>
      <c r="H20" s="43">
        <v>0.84906722129589796</v>
      </c>
      <c r="I20" s="43">
        <v>1.51493405499292</v>
      </c>
      <c r="J20" s="43">
        <v>0.9</v>
      </c>
      <c r="K20" s="43">
        <v>0.96822487374375998</v>
      </c>
      <c r="L20" s="38">
        <v>299.89999999999998</v>
      </c>
      <c r="M20" s="38">
        <v>4.0000000000000001E-3</v>
      </c>
      <c r="N20" s="38">
        <v>74975</v>
      </c>
    </row>
    <row r="21" spans="1:14" ht="22.5" customHeight="1">
      <c r="A21" s="44" t="s">
        <v>63</v>
      </c>
      <c r="B21" s="44"/>
      <c r="C21" s="45" t="s">
        <v>64</v>
      </c>
      <c r="D21" s="41">
        <v>339.2</v>
      </c>
      <c r="E21" s="42">
        <v>274</v>
      </c>
      <c r="F21" s="41" t="s">
        <v>32</v>
      </c>
      <c r="G21" s="38">
        <f t="shared" si="0"/>
        <v>-65.199999999999989</v>
      </c>
      <c r="H21" s="43">
        <v>2.8452388041095801E-3</v>
      </c>
      <c r="I21" s="43">
        <v>3.7846820668168699</v>
      </c>
      <c r="J21" s="43">
        <v>2</v>
      </c>
      <c r="K21" s="43">
        <v>0.90902524776706595</v>
      </c>
      <c r="L21" s="38">
        <v>18.8</v>
      </c>
      <c r="M21" s="38">
        <v>4.0000000000000001E-3</v>
      </c>
      <c r="N21" s="38">
        <v>4700</v>
      </c>
    </row>
    <row r="22" spans="1:14" ht="22.5" customHeight="1">
      <c r="A22" s="41" t="s">
        <v>65</v>
      </c>
      <c r="B22" s="41"/>
      <c r="C22" s="41" t="s">
        <v>66</v>
      </c>
      <c r="D22" s="41">
        <v>114.5</v>
      </c>
      <c r="E22" s="42">
        <v>106.615384615385</v>
      </c>
      <c r="F22" s="41" t="s">
        <v>46</v>
      </c>
      <c r="G22" s="38">
        <f t="shared" si="0"/>
        <v>-7.8846153846150031</v>
      </c>
      <c r="H22" s="43">
        <v>0.60475172632931695</v>
      </c>
      <c r="I22" s="43">
        <v>1.12125469718354</v>
      </c>
      <c r="J22" s="43">
        <v>0.9</v>
      </c>
      <c r="K22" s="43">
        <v>0.98973667148826805</v>
      </c>
      <c r="L22" s="38">
        <v>654.5</v>
      </c>
      <c r="M22" s="38">
        <v>4.0000000000000001E-3</v>
      </c>
      <c r="N22" s="38">
        <v>163625</v>
      </c>
    </row>
    <row r="23" spans="1:14" ht="22.5" customHeight="1">
      <c r="A23" s="41" t="s">
        <v>67</v>
      </c>
      <c r="B23" s="41"/>
      <c r="C23" s="41" t="s">
        <v>68</v>
      </c>
      <c r="D23" s="41">
        <v>139.91999999999999</v>
      </c>
      <c r="E23" s="42">
        <v>146.38461538461499</v>
      </c>
      <c r="F23" s="41" t="s">
        <v>46</v>
      </c>
      <c r="G23" s="38">
        <f t="shared" si="0"/>
        <v>6.4646153846150014</v>
      </c>
      <c r="H23" s="43">
        <v>5.1836650983104499E-2</v>
      </c>
      <c r="I23" s="43">
        <v>0.352430241324662</v>
      </c>
      <c r="J23" s="43">
        <v>0.9</v>
      </c>
      <c r="K23" s="43">
        <v>0.99491266916175602</v>
      </c>
      <c r="L23" s="38">
        <v>1179.5999999999999</v>
      </c>
      <c r="M23" s="38">
        <v>4.0000000000000001E-3</v>
      </c>
      <c r="N23" s="38">
        <v>294900</v>
      </c>
    </row>
    <row r="24" spans="1:14" ht="22.5" customHeight="1">
      <c r="A24" s="41" t="s">
        <v>69</v>
      </c>
      <c r="B24" s="41"/>
      <c r="C24" s="41" t="s">
        <v>70</v>
      </c>
      <c r="D24" s="41">
        <v>201.4</v>
      </c>
      <c r="E24" s="42">
        <v>135.769230769231</v>
      </c>
      <c r="F24" s="41" t="s">
        <v>32</v>
      </c>
      <c r="G24" s="38">
        <f t="shared" si="0"/>
        <v>-65.630769230769005</v>
      </c>
      <c r="H24" s="43">
        <v>7.0428973573254602E-2</v>
      </c>
      <c r="I24" s="43">
        <v>9.4034634921105695</v>
      </c>
      <c r="J24" s="43">
        <v>2</v>
      </c>
      <c r="K24" s="43">
        <v>0.97406796908133297</v>
      </c>
      <c r="L24" s="38">
        <v>90.6</v>
      </c>
      <c r="M24" s="38">
        <v>4.0000000000000001E-3</v>
      </c>
      <c r="N24" s="38">
        <v>22650</v>
      </c>
    </row>
    <row r="25" spans="1:14" ht="22.5" customHeight="1">
      <c r="A25" s="44" t="s">
        <v>71</v>
      </c>
      <c r="B25" s="44"/>
      <c r="C25" s="45" t="s">
        <v>72</v>
      </c>
      <c r="D25" s="41">
        <v>225</v>
      </c>
      <c r="E25" s="42">
        <v>190.61538461538501</v>
      </c>
      <c r="F25" s="41" t="s">
        <v>32</v>
      </c>
      <c r="G25" s="38">
        <f t="shared" si="0"/>
        <v>-34.384615384614989</v>
      </c>
      <c r="H25" s="43">
        <v>0.88043341931644703</v>
      </c>
      <c r="I25" s="43">
        <v>5.7991574841718698</v>
      </c>
      <c r="J25" s="43">
        <v>2</v>
      </c>
      <c r="K25" s="43">
        <v>0.97238483440673296</v>
      </c>
      <c r="L25" s="38">
        <v>131.30000000000001</v>
      </c>
      <c r="M25" s="38">
        <v>4.0000000000000001E-3</v>
      </c>
      <c r="N25" s="38">
        <v>32825</v>
      </c>
    </row>
    <row r="26" spans="1:14" ht="22.5" customHeight="1">
      <c r="A26" s="41" t="s">
        <v>73</v>
      </c>
      <c r="B26" s="41"/>
      <c r="C26" s="41" t="s">
        <v>74</v>
      </c>
      <c r="D26" s="41">
        <v>90.1</v>
      </c>
      <c r="E26" s="42">
        <v>108.538461538462</v>
      </c>
      <c r="F26" s="41" t="s">
        <v>29</v>
      </c>
      <c r="G26" s="38">
        <f t="shared" si="0"/>
        <v>18.438461538462008</v>
      </c>
      <c r="H26" s="43">
        <v>0.84883830546096395</v>
      </c>
      <c r="I26" s="43">
        <v>9.2794909077771397</v>
      </c>
      <c r="J26" s="43">
        <v>1.5</v>
      </c>
      <c r="K26" s="43">
        <v>0.93356897257672899</v>
      </c>
      <c r="L26" s="38">
        <v>1720</v>
      </c>
      <c r="M26" s="38">
        <v>4.0000000000000001E-3</v>
      </c>
      <c r="N26" s="38">
        <v>430000</v>
      </c>
    </row>
    <row r="27" spans="1:14" ht="22.5" customHeight="1">
      <c r="A27" s="41" t="s">
        <v>75</v>
      </c>
      <c r="B27" s="41"/>
      <c r="C27" s="41" t="s">
        <v>76</v>
      </c>
      <c r="D27" s="41">
        <v>66.78</v>
      </c>
      <c r="E27" s="42">
        <v>93.176923076923103</v>
      </c>
      <c r="F27" s="41" t="s">
        <v>46</v>
      </c>
      <c r="G27" s="38">
        <f t="shared" si="0"/>
        <v>26.396923076923102</v>
      </c>
      <c r="H27" s="43">
        <v>0.78563517022601803</v>
      </c>
      <c r="I27" s="43">
        <v>3.6595391532941401</v>
      </c>
      <c r="J27" s="43">
        <v>0.9</v>
      </c>
      <c r="K27" s="43">
        <v>0.908328416660518</v>
      </c>
      <c r="L27" s="38">
        <v>2800</v>
      </c>
      <c r="M27" s="38">
        <v>4.0000000000000001E-3</v>
      </c>
      <c r="N27" s="38">
        <v>700000</v>
      </c>
    </row>
    <row r="28" spans="1:14" ht="22.5" customHeight="1">
      <c r="A28" s="41" t="s">
        <v>77</v>
      </c>
      <c r="B28" s="41"/>
      <c r="C28" s="41" t="s">
        <v>78</v>
      </c>
      <c r="D28" s="41">
        <v>188.68</v>
      </c>
      <c r="E28" s="42">
        <v>170.38461538461499</v>
      </c>
      <c r="F28" s="41" t="s">
        <v>46</v>
      </c>
      <c r="G28" s="38">
        <f t="shared" si="0"/>
        <v>-18.295384615385018</v>
      </c>
      <c r="H28" s="43">
        <v>0.85499394963472497</v>
      </c>
      <c r="I28" s="43">
        <v>3.8836979419486299</v>
      </c>
      <c r="J28" s="43">
        <v>0.9</v>
      </c>
      <c r="K28" s="43">
        <v>0.98817384089432903</v>
      </c>
      <c r="L28" s="38">
        <v>170.9</v>
      </c>
      <c r="M28" s="38">
        <v>4.0000000000000001E-3</v>
      </c>
      <c r="N28" s="38">
        <v>42725</v>
      </c>
    </row>
    <row r="29" spans="1:14" ht="22.5" customHeight="1">
      <c r="A29" s="41" t="s">
        <v>79</v>
      </c>
      <c r="B29" s="41"/>
      <c r="C29" s="41" t="s">
        <v>80</v>
      </c>
      <c r="D29" s="41">
        <v>121.9</v>
      </c>
      <c r="E29" s="42">
        <v>139</v>
      </c>
      <c r="F29" s="41" t="s">
        <v>29</v>
      </c>
      <c r="G29" s="38">
        <f t="shared" si="0"/>
        <v>17.099999999999994</v>
      </c>
      <c r="H29" s="43">
        <v>0.79946515060865597</v>
      </c>
      <c r="I29" s="43">
        <v>9.5909381145814994</v>
      </c>
      <c r="J29" s="43">
        <v>1.5</v>
      </c>
      <c r="K29" s="43">
        <v>0.92305722106133303</v>
      </c>
      <c r="L29" s="38">
        <v>7774</v>
      </c>
      <c r="M29" s="38">
        <v>4.0000000000000001E-3</v>
      </c>
      <c r="N29" s="38">
        <v>1943500</v>
      </c>
    </row>
    <row r="30" spans="1:14" ht="22.5" customHeight="1">
      <c r="A30" s="41" t="s">
        <v>81</v>
      </c>
      <c r="B30" s="41"/>
      <c r="C30" s="41" t="s">
        <v>82</v>
      </c>
      <c r="D30" s="41">
        <v>97</v>
      </c>
      <c r="E30" s="42">
        <v>138.69230769230799</v>
      </c>
      <c r="F30" s="41" t="s">
        <v>46</v>
      </c>
      <c r="G30" s="38">
        <f t="shared" si="0"/>
        <v>41.692307692307992</v>
      </c>
      <c r="H30" s="43">
        <v>5.8008962543524098E-2</v>
      </c>
      <c r="I30" s="43">
        <v>2.9539730868803602</v>
      </c>
      <c r="J30" s="43">
        <v>0.9</v>
      </c>
      <c r="K30" s="43">
        <v>0.98107539238341401</v>
      </c>
      <c r="L30" s="38">
        <v>1929</v>
      </c>
      <c r="M30" s="38">
        <v>4.0000000000000001E-3</v>
      </c>
      <c r="N30" s="38">
        <v>482250</v>
      </c>
    </row>
    <row r="31" spans="1:14" ht="22.5" customHeight="1">
      <c r="A31" s="41" t="s">
        <v>83</v>
      </c>
      <c r="B31" s="41">
        <v>1</v>
      </c>
      <c r="C31" s="41" t="s">
        <v>84</v>
      </c>
      <c r="D31" s="41">
        <v>158</v>
      </c>
      <c r="E31" s="42">
        <v>159.69230769230799</v>
      </c>
      <c r="F31" s="41" t="s">
        <v>46</v>
      </c>
      <c r="G31" s="38">
        <f t="shared" si="0"/>
        <v>1.6923076923079918</v>
      </c>
      <c r="H31" s="43">
        <v>0.56484074142094898</v>
      </c>
      <c r="I31" s="43">
        <v>5.7014572803814296</v>
      </c>
      <c r="J31" s="43">
        <v>0.9</v>
      </c>
      <c r="K31" s="43">
        <v>0.95290446159854503</v>
      </c>
      <c r="L31" s="38">
        <v>5050</v>
      </c>
      <c r="M31" s="38">
        <v>4.0000000000000001E-3</v>
      </c>
      <c r="N31" s="38">
        <v>1262500</v>
      </c>
    </row>
    <row r="32" spans="1:14" ht="22.5" customHeight="1">
      <c r="A32" s="41" t="s">
        <v>85</v>
      </c>
      <c r="B32" s="41"/>
      <c r="C32" s="41" t="s">
        <v>86</v>
      </c>
      <c r="D32" s="41">
        <v>225</v>
      </c>
      <c r="E32" s="42">
        <v>225.666666666667</v>
      </c>
      <c r="F32" s="41" t="s">
        <v>32</v>
      </c>
      <c r="G32" s="38">
        <f t="shared" si="0"/>
        <v>0.66666666666699825</v>
      </c>
      <c r="H32" s="43">
        <v>0.145783480396007</v>
      </c>
      <c r="I32" s="43">
        <v>1.79486381298144</v>
      </c>
      <c r="J32" s="43">
        <v>2</v>
      </c>
      <c r="K32" s="43">
        <v>0.96019497835586998</v>
      </c>
      <c r="L32" s="38">
        <v>125</v>
      </c>
      <c r="M32" s="38">
        <v>4.0000000000000001E-3</v>
      </c>
      <c r="N32" s="38">
        <v>31250</v>
      </c>
    </row>
    <row r="33" spans="1:14" ht="22.5" customHeight="1">
      <c r="A33" s="41" t="s">
        <v>87</v>
      </c>
      <c r="B33" s="41"/>
      <c r="C33" s="41" t="s">
        <v>88</v>
      </c>
      <c r="D33" s="41">
        <v>97</v>
      </c>
      <c r="E33" s="42">
        <v>119.461538461538</v>
      </c>
      <c r="F33" s="41" t="s">
        <v>46</v>
      </c>
      <c r="G33" s="38">
        <f t="shared" si="0"/>
        <v>22.461538461537998</v>
      </c>
      <c r="H33" s="43">
        <v>0.77777745051958802</v>
      </c>
      <c r="I33" s="43">
        <v>0.63672775654334501</v>
      </c>
      <c r="J33" s="43">
        <v>0.9</v>
      </c>
      <c r="K33" s="43">
        <v>0.98247932744113797</v>
      </c>
      <c r="L33" s="38">
        <v>565</v>
      </c>
      <c r="M33" s="38">
        <v>4.0000000000000001E-3</v>
      </c>
      <c r="N33" s="38">
        <v>141250</v>
      </c>
    </row>
    <row r="34" spans="1:14" ht="22.5" customHeight="1">
      <c r="A34" s="41" t="s">
        <v>89</v>
      </c>
      <c r="B34" s="41"/>
      <c r="C34" s="41" t="s">
        <v>90</v>
      </c>
      <c r="D34" s="41">
        <v>175</v>
      </c>
      <c r="E34" s="42">
        <v>156.42307692307699</v>
      </c>
      <c r="F34" s="41" t="s">
        <v>32</v>
      </c>
      <c r="G34" s="38">
        <f t="shared" si="0"/>
        <v>-18.576923076923009</v>
      </c>
      <c r="H34" s="43">
        <v>0.64538930142569195</v>
      </c>
      <c r="I34" s="43">
        <v>7.9643475716682302</v>
      </c>
      <c r="J34" s="43">
        <v>2</v>
      </c>
      <c r="K34" s="43">
        <v>0.91577524191843795</v>
      </c>
      <c r="L34" s="38">
        <v>114.7</v>
      </c>
      <c r="M34" s="38">
        <v>4.0000000000000001E-3</v>
      </c>
      <c r="N34" s="38">
        <v>28675</v>
      </c>
    </row>
    <row r="35" spans="1:14" ht="22.5" customHeight="1">
      <c r="A35" s="41" t="s">
        <v>91</v>
      </c>
      <c r="B35" s="41"/>
      <c r="C35" s="41" t="s">
        <v>92</v>
      </c>
      <c r="D35" s="41">
        <v>88</v>
      </c>
      <c r="E35" s="42">
        <v>106.384615384615</v>
      </c>
      <c r="F35" s="41" t="s">
        <v>29</v>
      </c>
      <c r="G35" s="38">
        <f t="shared" si="0"/>
        <v>18.384615384615003</v>
      </c>
      <c r="H35" s="43">
        <v>0.71025177021697905</v>
      </c>
      <c r="I35" s="43">
        <v>2.9985383895797799</v>
      </c>
      <c r="J35" s="43">
        <v>1.5</v>
      </c>
      <c r="K35" s="43">
        <v>0.96125270514868499</v>
      </c>
      <c r="L35" s="38">
        <v>14500</v>
      </c>
      <c r="M35" s="38">
        <v>4.0000000000000001E-3</v>
      </c>
      <c r="N35" s="38">
        <v>3625000</v>
      </c>
    </row>
    <row r="36" spans="1:14" ht="22.5" customHeight="1">
      <c r="A36" s="41" t="s">
        <v>93</v>
      </c>
      <c r="B36" s="41"/>
      <c r="C36" s="41" t="s">
        <v>94</v>
      </c>
      <c r="D36" s="41">
        <v>143.1</v>
      </c>
      <c r="E36" s="42">
        <v>129.538461538462</v>
      </c>
      <c r="F36" s="41" t="s">
        <v>46</v>
      </c>
      <c r="G36" s="38">
        <f t="shared" si="0"/>
        <v>-13.561538461537992</v>
      </c>
      <c r="H36" s="43">
        <v>0.17249424578814801</v>
      </c>
      <c r="I36" s="43">
        <v>1.53053736412938</v>
      </c>
      <c r="J36" s="43">
        <v>0.9</v>
      </c>
      <c r="K36" s="43">
        <v>0.95213345549369</v>
      </c>
      <c r="L36" s="38">
        <v>1900</v>
      </c>
      <c r="M36" s="38">
        <v>4.0000000000000001E-3</v>
      </c>
      <c r="N36" s="38">
        <v>475000</v>
      </c>
    </row>
    <row r="37" spans="1:14" ht="22.5" customHeight="1">
      <c r="A37" s="41" t="s">
        <v>95</v>
      </c>
      <c r="B37" s="41"/>
      <c r="C37" s="41" t="s">
        <v>96</v>
      </c>
      <c r="D37" s="41">
        <v>121.9</v>
      </c>
      <c r="E37" s="42">
        <v>144.538461538462</v>
      </c>
      <c r="F37" s="41" t="s">
        <v>46</v>
      </c>
      <c r="G37" s="38">
        <f t="shared" si="0"/>
        <v>22.638461538461996</v>
      </c>
      <c r="H37" s="43">
        <v>0.90323325732132997</v>
      </c>
      <c r="I37" s="43">
        <v>1.15795707183172</v>
      </c>
      <c r="J37" s="43">
        <v>0.9</v>
      </c>
      <c r="K37" s="43">
        <v>0.95771777755108001</v>
      </c>
      <c r="L37" s="38">
        <v>3809</v>
      </c>
      <c r="M37" s="38">
        <v>4.0000000000000001E-3</v>
      </c>
      <c r="N37" s="38">
        <v>952250</v>
      </c>
    </row>
    <row r="38" spans="1:14" ht="22.5" customHeight="1">
      <c r="A38" s="41" t="s">
        <v>97</v>
      </c>
      <c r="B38" s="41"/>
      <c r="C38" s="41" t="s">
        <v>98</v>
      </c>
      <c r="D38" s="41">
        <v>263</v>
      </c>
      <c r="E38" s="42">
        <v>274.538461538462</v>
      </c>
      <c r="F38" s="41" t="s">
        <v>35</v>
      </c>
      <c r="G38" s="38">
        <f t="shared" si="0"/>
        <v>11.538461538462002</v>
      </c>
      <c r="H38" s="43">
        <v>0.38362900994979299</v>
      </c>
      <c r="I38" s="43">
        <v>3.7265998449883502</v>
      </c>
      <c r="J38" s="43">
        <v>1</v>
      </c>
      <c r="K38" s="43">
        <v>0.96315037369202605</v>
      </c>
      <c r="L38" s="38">
        <v>300</v>
      </c>
      <c r="M38" s="38">
        <v>4.0000000000000001E-3</v>
      </c>
      <c r="N38" s="38">
        <v>75000</v>
      </c>
    </row>
    <row r="39" spans="1:14" ht="22.5" customHeight="1">
      <c r="A39" s="41" t="s">
        <v>99</v>
      </c>
      <c r="B39" s="41"/>
      <c r="C39" s="41" t="s">
        <v>100</v>
      </c>
      <c r="D39" s="41">
        <v>175</v>
      </c>
      <c r="E39" s="42">
        <v>213.38461538461499</v>
      </c>
      <c r="F39" s="41" t="s">
        <v>32</v>
      </c>
      <c r="G39" s="38">
        <f t="shared" si="0"/>
        <v>38.384615384614989</v>
      </c>
      <c r="H39" s="43">
        <v>0.963080932050425</v>
      </c>
      <c r="I39" s="43">
        <v>5.55384405518015</v>
      </c>
      <c r="J39" s="43">
        <v>2</v>
      </c>
      <c r="K39" s="43">
        <v>0.94802190947506604</v>
      </c>
      <c r="L39" s="38">
        <v>836.9</v>
      </c>
      <c r="M39" s="38">
        <v>4.0000000000000001E-3</v>
      </c>
      <c r="N39" s="38">
        <v>209225</v>
      </c>
    </row>
    <row r="40" spans="1:14" ht="22.5" customHeight="1">
      <c r="A40" s="41" t="s">
        <v>101</v>
      </c>
      <c r="B40" s="41"/>
      <c r="C40" s="41" t="s">
        <v>102</v>
      </c>
      <c r="D40" s="41">
        <v>225</v>
      </c>
      <c r="E40" s="42">
        <v>191.769230769231</v>
      </c>
      <c r="F40" s="41" t="s">
        <v>32</v>
      </c>
      <c r="G40" s="38">
        <f t="shared" si="0"/>
        <v>-33.230769230768999</v>
      </c>
      <c r="H40" s="43">
        <v>0.61740101402111003</v>
      </c>
      <c r="I40" s="43">
        <v>7.8634214071596897</v>
      </c>
      <c r="J40" s="43">
        <v>2</v>
      </c>
      <c r="K40" s="43">
        <v>0.96919399117697203</v>
      </c>
      <c r="L40" s="38">
        <v>629</v>
      </c>
      <c r="M40" s="38">
        <v>4.0000000000000001E-3</v>
      </c>
      <c r="N40" s="38">
        <v>157250</v>
      </c>
    </row>
    <row r="41" spans="1:14" ht="22.5" customHeight="1">
      <c r="A41" s="41" t="s">
        <v>103</v>
      </c>
      <c r="B41" s="41"/>
      <c r="C41" s="41" t="s">
        <v>104</v>
      </c>
      <c r="D41" s="41">
        <v>225</v>
      </c>
      <c r="E41" s="42">
        <v>205.538461538462</v>
      </c>
      <c r="F41" s="41" t="s">
        <v>32</v>
      </c>
      <c r="G41" s="38">
        <f t="shared" si="0"/>
        <v>-19.461538461537998</v>
      </c>
      <c r="H41" s="43">
        <v>0.80800012107584696</v>
      </c>
      <c r="I41" s="43">
        <v>7.97407180838767</v>
      </c>
      <c r="J41" s="43">
        <v>2</v>
      </c>
      <c r="K41" s="43">
        <v>0.97422948522085495</v>
      </c>
      <c r="L41" s="38">
        <v>690</v>
      </c>
      <c r="M41" s="38">
        <v>4.0000000000000001E-3</v>
      </c>
      <c r="N41" s="38">
        <v>172500</v>
      </c>
    </row>
    <row r="42" spans="1:14" ht="22.5" customHeight="1">
      <c r="A42" s="41" t="s">
        <v>105</v>
      </c>
      <c r="B42" s="41"/>
      <c r="C42" s="41" t="s">
        <v>106</v>
      </c>
      <c r="D42" s="41">
        <v>201.4</v>
      </c>
      <c r="E42" s="42">
        <v>201.61538461538501</v>
      </c>
      <c r="F42" s="41" t="s">
        <v>32</v>
      </c>
      <c r="G42" s="38">
        <f t="shared" si="0"/>
        <v>0.21538461538500542</v>
      </c>
      <c r="H42" s="43">
        <v>0.92524079054780195</v>
      </c>
      <c r="I42" s="43">
        <v>7.4733008010489597</v>
      </c>
      <c r="J42" s="43">
        <v>2</v>
      </c>
      <c r="K42" s="43">
        <v>0.91585432730798599</v>
      </c>
      <c r="L42" s="38">
        <v>4404.3</v>
      </c>
      <c r="M42" s="38">
        <v>4.0000000000000001E-3</v>
      </c>
      <c r="N42" s="38">
        <v>1101075</v>
      </c>
    </row>
    <row r="43" spans="1:14" ht="22.5" customHeight="1">
      <c r="A43" s="41" t="s">
        <v>107</v>
      </c>
      <c r="B43" s="41"/>
      <c r="C43" s="41" t="s">
        <v>108</v>
      </c>
      <c r="D43" s="41">
        <v>263</v>
      </c>
      <c r="E43" s="42">
        <v>250</v>
      </c>
      <c r="F43" s="41" t="s">
        <v>32</v>
      </c>
      <c r="G43" s="38">
        <f t="shared" si="0"/>
        <v>-13</v>
      </c>
      <c r="H43" s="43">
        <v>0.145636473280809</v>
      </c>
      <c r="I43" s="43">
        <v>5.4390503411390902</v>
      </c>
      <c r="J43" s="43">
        <v>2</v>
      </c>
      <c r="K43" s="43">
        <v>0.93977662814105301</v>
      </c>
      <c r="L43" s="38">
        <v>220</v>
      </c>
      <c r="M43" s="38">
        <v>4.0000000000000001E-3</v>
      </c>
      <c r="N43" s="38">
        <v>55000</v>
      </c>
    </row>
    <row r="44" spans="1:14" ht="22.5" customHeight="1">
      <c r="A44" s="41" t="s">
        <v>109</v>
      </c>
      <c r="B44" s="41"/>
      <c r="C44" s="41" t="s">
        <v>110</v>
      </c>
      <c r="D44" s="41">
        <v>263</v>
      </c>
      <c r="E44" s="42">
        <v>238.769230769231</v>
      </c>
      <c r="F44" s="41" t="s">
        <v>32</v>
      </c>
      <c r="G44" s="38">
        <f t="shared" si="0"/>
        <v>-24.230769230768999</v>
      </c>
      <c r="H44" s="43">
        <v>0.14722158956954601</v>
      </c>
      <c r="I44" s="43">
        <v>4.6470230026899397</v>
      </c>
      <c r="J44" s="43">
        <v>2</v>
      </c>
      <c r="K44" s="43">
        <v>0.90750482274495903</v>
      </c>
      <c r="L44" s="38">
        <v>950</v>
      </c>
      <c r="M44" s="38">
        <v>4.0000000000000001E-3</v>
      </c>
      <c r="N44" s="38">
        <v>237500</v>
      </c>
    </row>
    <row r="45" spans="1:14" ht="22.5" customHeight="1">
      <c r="A45" s="41" t="s">
        <v>111</v>
      </c>
      <c r="B45" s="41"/>
      <c r="C45" s="41" t="s">
        <v>112</v>
      </c>
      <c r="D45" s="41">
        <v>339.2</v>
      </c>
      <c r="E45" s="42">
        <v>394.5</v>
      </c>
      <c r="F45" s="41" t="s">
        <v>32</v>
      </c>
      <c r="G45" s="38">
        <f t="shared" si="0"/>
        <v>55.300000000000011</v>
      </c>
      <c r="H45" s="43">
        <v>0.155810697430492</v>
      </c>
      <c r="I45" s="43">
        <v>4.7923366041892201</v>
      </c>
      <c r="J45" s="43">
        <v>2</v>
      </c>
      <c r="K45" s="43">
        <v>0.91826360689927999</v>
      </c>
      <c r="L45" s="38">
        <v>100</v>
      </c>
      <c r="M45" s="38">
        <v>4.0000000000000001E-3</v>
      </c>
      <c r="N45" s="38">
        <v>25000</v>
      </c>
    </row>
    <row r="46" spans="1:14" ht="22.5" customHeight="1">
      <c r="A46" s="41" t="s">
        <v>113</v>
      </c>
      <c r="B46" s="41"/>
      <c r="C46" s="41" t="s">
        <v>114</v>
      </c>
      <c r="D46" s="41">
        <v>381.6</v>
      </c>
      <c r="E46" s="42">
        <v>352.07692307692298</v>
      </c>
      <c r="F46" s="41" t="s">
        <v>46</v>
      </c>
      <c r="G46" s="38">
        <f t="shared" si="0"/>
        <v>-29.523076923077042</v>
      </c>
      <c r="H46" s="43">
        <v>0.57190410465950103</v>
      </c>
      <c r="I46" s="43">
        <v>5.7793983538763296</v>
      </c>
      <c r="J46" s="43">
        <v>0.9</v>
      </c>
      <c r="K46" s="43">
        <v>0.918712893001428</v>
      </c>
      <c r="L46" s="38">
        <v>7500</v>
      </c>
      <c r="M46" s="38">
        <v>4.0000000000000001E-3</v>
      </c>
      <c r="N46" s="38">
        <v>1875000</v>
      </c>
    </row>
    <row r="47" spans="1:14" ht="22.5" customHeight="1">
      <c r="A47" s="41" t="s">
        <v>115</v>
      </c>
      <c r="B47" s="41">
        <v>1</v>
      </c>
      <c r="C47" s="41" t="s">
        <v>116</v>
      </c>
      <c r="D47" s="41">
        <v>583</v>
      </c>
      <c r="E47" s="42">
        <v>525</v>
      </c>
      <c r="F47" s="41" t="s">
        <v>46</v>
      </c>
      <c r="G47" s="38">
        <f t="shared" si="0"/>
        <v>-58</v>
      </c>
      <c r="H47" s="43">
        <v>0.33655877544298002</v>
      </c>
      <c r="I47" s="43">
        <v>2.5447815050073199</v>
      </c>
      <c r="J47" s="43">
        <v>0.9</v>
      </c>
      <c r="K47" s="43">
        <v>0.96531472171405297</v>
      </c>
      <c r="L47" s="38">
        <v>2000</v>
      </c>
      <c r="M47" s="38">
        <v>4.0000000000000001E-3</v>
      </c>
      <c r="N47" s="38">
        <v>500000</v>
      </c>
    </row>
    <row r="48" spans="1:14" ht="22.5" customHeight="1">
      <c r="A48" s="41" t="s">
        <v>117</v>
      </c>
      <c r="B48" s="41"/>
      <c r="C48" s="41" t="s">
        <v>118</v>
      </c>
      <c r="D48" s="41">
        <v>381.6</v>
      </c>
      <c r="E48" s="42">
        <v>365.15384615384602</v>
      </c>
      <c r="F48" s="41" t="s">
        <v>35</v>
      </c>
      <c r="G48" s="38">
        <f t="shared" si="0"/>
        <v>-16.446153846154004</v>
      </c>
      <c r="H48" s="43">
        <v>0.54783205644621102</v>
      </c>
      <c r="I48" s="43">
        <v>7.4590846474688703</v>
      </c>
      <c r="J48" s="43">
        <v>1</v>
      </c>
      <c r="K48" s="43">
        <v>0.96950202346560599</v>
      </c>
      <c r="L48" s="38">
        <v>194</v>
      </c>
      <c r="M48" s="38">
        <v>4.0000000000000001E-3</v>
      </c>
      <c r="N48" s="38">
        <v>48500</v>
      </c>
    </row>
    <row r="49" spans="1:14" ht="22.5" customHeight="1">
      <c r="A49" s="41" t="s">
        <v>119</v>
      </c>
      <c r="B49" s="41"/>
      <c r="C49" s="41" t="s">
        <v>120</v>
      </c>
      <c r="D49" s="41">
        <v>678.4</v>
      </c>
      <c r="E49" s="42">
        <v>728.76923076923094</v>
      </c>
      <c r="F49" s="41" t="s">
        <v>35</v>
      </c>
      <c r="G49" s="38">
        <f t="shared" si="0"/>
        <v>50.369230769230967</v>
      </c>
      <c r="H49" s="43">
        <v>0.24876378843040201</v>
      </c>
      <c r="I49" s="43">
        <v>5.3450035472574697</v>
      </c>
      <c r="J49" s="43">
        <v>1</v>
      </c>
      <c r="K49" s="43">
        <v>0.92286098671646399</v>
      </c>
      <c r="L49" s="38">
        <v>431</v>
      </c>
      <c r="M49" s="38">
        <v>4.0000000000000001E-3</v>
      </c>
      <c r="N49" s="38">
        <v>107750</v>
      </c>
    </row>
    <row r="50" spans="1:14" ht="22.5" customHeight="1">
      <c r="A50" s="41" t="s">
        <v>121</v>
      </c>
      <c r="B50" s="41"/>
      <c r="C50" s="41" t="s">
        <v>122</v>
      </c>
      <c r="D50" s="41">
        <v>424</v>
      </c>
      <c r="E50" s="42">
        <v>447.230769230769</v>
      </c>
      <c r="F50" s="41" t="s">
        <v>29</v>
      </c>
      <c r="G50" s="38">
        <f t="shared" si="0"/>
        <v>23.230769230768999</v>
      </c>
      <c r="H50" s="43">
        <v>0.88156329887190199</v>
      </c>
      <c r="I50" s="43">
        <v>1.2152098133403899</v>
      </c>
      <c r="J50" s="43">
        <v>1.5</v>
      </c>
      <c r="K50" s="43">
        <v>0.94377772518755498</v>
      </c>
      <c r="L50" s="38">
        <v>3564</v>
      </c>
      <c r="M50" s="38">
        <v>4.0000000000000001E-3</v>
      </c>
      <c r="N50" s="38">
        <v>891000</v>
      </c>
    </row>
    <row r="51" spans="1:14" ht="22.5" customHeight="1">
      <c r="A51" s="41" t="s">
        <v>123</v>
      </c>
      <c r="B51" s="41"/>
      <c r="C51" s="41" t="s">
        <v>124</v>
      </c>
      <c r="D51" s="41">
        <v>424</v>
      </c>
      <c r="E51" s="42">
        <v>415.61538461538498</v>
      </c>
      <c r="F51" s="41" t="s">
        <v>35</v>
      </c>
      <c r="G51" s="38">
        <f t="shared" si="0"/>
        <v>-8.3846153846150173</v>
      </c>
      <c r="H51" s="43">
        <v>4.5746031577581898E-2</v>
      </c>
      <c r="I51" s="43">
        <v>9.9447054696851591</v>
      </c>
      <c r="J51" s="43">
        <v>1</v>
      </c>
      <c r="K51" s="43">
        <v>0.94477863622762004</v>
      </c>
      <c r="L51" s="38">
        <v>526</v>
      </c>
      <c r="M51" s="38">
        <v>4.0000000000000001E-3</v>
      </c>
      <c r="N51" s="38">
        <v>131500</v>
      </c>
    </row>
    <row r="52" spans="1:14" ht="22.5" customHeight="1">
      <c r="A52" s="41" t="s">
        <v>125</v>
      </c>
      <c r="B52" s="41"/>
      <c r="C52" s="41" t="s">
        <v>126</v>
      </c>
      <c r="D52" s="41">
        <v>678.4</v>
      </c>
      <c r="E52" s="42">
        <v>644.15384615384596</v>
      </c>
      <c r="F52" s="41" t="s">
        <v>35</v>
      </c>
      <c r="G52" s="38">
        <f t="shared" si="0"/>
        <v>-34.246153846154016</v>
      </c>
      <c r="H52" s="43">
        <v>0.62378805854338804</v>
      </c>
      <c r="I52" s="43">
        <v>1.6764930252264201</v>
      </c>
      <c r="J52" s="43">
        <v>1</v>
      </c>
      <c r="K52" s="43">
        <v>0.99570884508106605</v>
      </c>
      <c r="L52" s="38">
        <v>17</v>
      </c>
      <c r="M52" s="38">
        <v>4.0000000000000001E-3</v>
      </c>
      <c r="N52" s="38">
        <v>4250</v>
      </c>
    </row>
    <row r="53" spans="1:14" ht="22.5" customHeight="1">
      <c r="A53" s="41" t="s">
        <v>127</v>
      </c>
      <c r="B53" s="41"/>
      <c r="C53" s="41" t="s">
        <v>128</v>
      </c>
      <c r="D53" s="41">
        <v>848</v>
      </c>
      <c r="E53" s="42">
        <v>1280.23076923077</v>
      </c>
      <c r="F53" s="41" t="s">
        <v>32</v>
      </c>
      <c r="G53" s="38">
        <f t="shared" si="0"/>
        <v>432.23076923076997</v>
      </c>
      <c r="H53" s="43">
        <v>0.70672188550678705</v>
      </c>
      <c r="I53" s="43">
        <v>7.4744226850283901</v>
      </c>
      <c r="J53" s="43">
        <v>2</v>
      </c>
      <c r="K53" s="43">
        <v>0.98036349854986204</v>
      </c>
      <c r="L53" s="38">
        <v>20</v>
      </c>
      <c r="M53" s="38">
        <v>4.0000000000000001E-3</v>
      </c>
      <c r="N53" s="38">
        <v>5000</v>
      </c>
    </row>
    <row r="54" spans="1:14" ht="22.5" customHeight="1">
      <c r="A54" s="41" t="s">
        <v>129</v>
      </c>
      <c r="B54" s="41"/>
      <c r="C54" s="41" t="s">
        <v>130</v>
      </c>
      <c r="D54" s="41">
        <v>510</v>
      </c>
      <c r="E54" s="42">
        <v>516.07692307692298</v>
      </c>
      <c r="F54" s="41" t="s">
        <v>32</v>
      </c>
      <c r="G54" s="38">
        <f t="shared" si="0"/>
        <v>6.0769230769229807</v>
      </c>
      <c r="H54" s="43">
        <v>0.79216521372721904</v>
      </c>
      <c r="I54" s="43">
        <v>3.95849117343433</v>
      </c>
      <c r="J54" s="43">
        <v>2</v>
      </c>
      <c r="K54" s="43">
        <v>0.98023341337121195</v>
      </c>
      <c r="L54" s="38">
        <v>339</v>
      </c>
      <c r="M54" s="38">
        <v>4.0000000000000001E-3</v>
      </c>
      <c r="N54" s="38">
        <v>84750</v>
      </c>
    </row>
    <row r="55" spans="1:14" ht="22.5" customHeight="1">
      <c r="A55" s="41" t="s">
        <v>131</v>
      </c>
      <c r="B55" s="41"/>
      <c r="C55" s="41" t="s">
        <v>132</v>
      </c>
      <c r="D55" s="41">
        <v>510</v>
      </c>
      <c r="E55" s="42">
        <v>544.84615384615404</v>
      </c>
      <c r="F55" s="41" t="s">
        <v>32</v>
      </c>
      <c r="G55" s="38">
        <f t="shared" si="0"/>
        <v>34.846153846154039</v>
      </c>
      <c r="H55" s="43">
        <v>0.33314830997323303</v>
      </c>
      <c r="I55" s="43">
        <v>8.4233566959337907</v>
      </c>
      <c r="J55" s="43">
        <v>2</v>
      </c>
      <c r="K55" s="43">
        <v>0.97180333778960903</v>
      </c>
      <c r="L55" s="38">
        <v>312</v>
      </c>
      <c r="M55" s="38">
        <v>4.0000000000000001E-3</v>
      </c>
      <c r="N55" s="38">
        <v>78000</v>
      </c>
    </row>
    <row r="56" spans="1:14" ht="22.5" customHeight="1">
      <c r="A56" s="41" t="s">
        <v>133</v>
      </c>
      <c r="B56" s="41"/>
      <c r="C56" s="41" t="s">
        <v>134</v>
      </c>
      <c r="D56" s="41">
        <v>848</v>
      </c>
      <c r="E56" s="42">
        <v>825.30769230769204</v>
      </c>
      <c r="F56" s="41" t="s">
        <v>32</v>
      </c>
      <c r="G56" s="38">
        <f t="shared" si="0"/>
        <v>-22.692307692307963</v>
      </c>
      <c r="H56" s="43">
        <v>0.98240256218496103</v>
      </c>
      <c r="I56" s="43">
        <v>2.31297109777532</v>
      </c>
      <c r="J56" s="43">
        <v>2</v>
      </c>
      <c r="K56" s="43">
        <v>0.94239584539326404</v>
      </c>
      <c r="L56" s="38">
        <v>18</v>
      </c>
      <c r="M56" s="38">
        <v>4.0000000000000001E-3</v>
      </c>
      <c r="N56" s="38">
        <v>4500</v>
      </c>
    </row>
    <row r="57" spans="1:14" ht="22.5" customHeight="1">
      <c r="A57" s="41" t="s">
        <v>135</v>
      </c>
      <c r="B57" s="41"/>
      <c r="C57" s="41" t="s">
        <v>136</v>
      </c>
      <c r="D57" s="41">
        <v>1000</v>
      </c>
      <c r="E57" s="42">
        <v>1288.3076923076901</v>
      </c>
      <c r="F57" s="41" t="s">
        <v>32</v>
      </c>
      <c r="G57" s="38">
        <f t="shared" si="0"/>
        <v>288.3076923076901</v>
      </c>
      <c r="H57" s="43">
        <v>0.33801256027499199</v>
      </c>
      <c r="I57" s="43">
        <v>6.2067776094869602</v>
      </c>
      <c r="J57" s="43">
        <v>2</v>
      </c>
      <c r="K57" s="43">
        <v>0.99789438154215804</v>
      </c>
      <c r="L57" s="38">
        <v>23</v>
      </c>
      <c r="M57" s="38">
        <v>4.0000000000000001E-3</v>
      </c>
      <c r="N57" s="38">
        <v>5750</v>
      </c>
    </row>
    <row r="58" spans="1:14" ht="22.5" customHeight="1">
      <c r="A58" s="41" t="s">
        <v>137</v>
      </c>
      <c r="B58" s="41"/>
      <c r="C58" s="41" t="s">
        <v>138</v>
      </c>
      <c r="D58" s="41">
        <v>848</v>
      </c>
      <c r="E58" s="42">
        <v>995</v>
      </c>
      <c r="F58" s="41" t="s">
        <v>32</v>
      </c>
      <c r="G58" s="38">
        <f t="shared" si="0"/>
        <v>147</v>
      </c>
      <c r="H58" s="43">
        <v>0.201738206625005</v>
      </c>
      <c r="I58" s="43">
        <v>2.6948526919365601</v>
      </c>
      <c r="J58" s="43">
        <v>2</v>
      </c>
      <c r="K58" s="43">
        <v>0.97199678078288898</v>
      </c>
      <c r="L58" s="38">
        <v>45</v>
      </c>
      <c r="M58" s="38">
        <v>4.0000000000000001E-3</v>
      </c>
      <c r="N58" s="38">
        <v>11250</v>
      </c>
    </row>
    <row r="59" spans="1:14" ht="22.5" customHeight="1">
      <c r="A59" s="41" t="s">
        <v>139</v>
      </c>
      <c r="B59" s="41"/>
      <c r="C59" s="41" t="s">
        <v>140</v>
      </c>
      <c r="D59" s="41">
        <v>114.5</v>
      </c>
      <c r="E59" s="42">
        <v>152.5</v>
      </c>
      <c r="F59" s="41" t="s">
        <v>29</v>
      </c>
      <c r="G59" s="38">
        <f t="shared" si="0"/>
        <v>38</v>
      </c>
      <c r="H59" s="43">
        <v>0.396663825084974</v>
      </c>
      <c r="I59" s="43">
        <v>7.5879460819398901</v>
      </c>
      <c r="J59" s="43">
        <v>1.5</v>
      </c>
      <c r="K59" s="43">
        <v>0.91864210344115005</v>
      </c>
      <c r="L59" s="38">
        <v>1500</v>
      </c>
      <c r="M59" s="38">
        <v>4.0000000000000001E-3</v>
      </c>
      <c r="N59" s="38">
        <v>375000</v>
      </c>
    </row>
    <row r="60" spans="1:14" ht="22.5" customHeight="1">
      <c r="A60" s="41" t="s">
        <v>141</v>
      </c>
      <c r="B60" s="41"/>
      <c r="C60" s="41" t="s">
        <v>142</v>
      </c>
      <c r="D60" s="41">
        <v>455.8</v>
      </c>
      <c r="E60" s="42">
        <v>436.30769230769198</v>
      </c>
      <c r="F60" s="41" t="s">
        <v>46</v>
      </c>
      <c r="G60" s="38">
        <f t="shared" si="0"/>
        <v>-19.492307692308032</v>
      </c>
      <c r="H60" s="43">
        <v>0.196640680874586</v>
      </c>
      <c r="I60" s="43">
        <v>3.5145076059510898</v>
      </c>
      <c r="J60" s="43">
        <v>0.9</v>
      </c>
      <c r="K60" s="43">
        <v>0.916044841281214</v>
      </c>
      <c r="L60" s="38">
        <v>1300</v>
      </c>
      <c r="M60" s="38">
        <v>4.0000000000000001E-3</v>
      </c>
      <c r="N60" s="38">
        <v>325000</v>
      </c>
    </row>
    <row r="61" spans="1:14" ht="22.5" customHeight="1">
      <c r="A61" s="41" t="s">
        <v>143</v>
      </c>
      <c r="B61" s="41"/>
      <c r="C61" s="41" t="s">
        <v>144</v>
      </c>
      <c r="D61" s="41">
        <v>243.8</v>
      </c>
      <c r="E61" s="42">
        <v>235.230769230769</v>
      </c>
      <c r="F61" s="41" t="s">
        <v>46</v>
      </c>
      <c r="G61" s="38">
        <f t="shared" si="0"/>
        <v>-8.5692307692310123</v>
      </c>
      <c r="H61" s="43">
        <v>0.88077847802692699</v>
      </c>
      <c r="I61" s="43">
        <v>9.6492558092611898</v>
      </c>
      <c r="J61" s="43">
        <v>0.9</v>
      </c>
      <c r="K61" s="43">
        <v>0.99961114908694304</v>
      </c>
      <c r="L61" s="38">
        <v>2500</v>
      </c>
      <c r="M61" s="38">
        <v>4.0000000000000001E-3</v>
      </c>
      <c r="N61" s="38">
        <v>625000</v>
      </c>
    </row>
    <row r="62" spans="1:14" ht="22.5" customHeight="1">
      <c r="A62" s="41" t="s">
        <v>145</v>
      </c>
      <c r="B62" s="41"/>
      <c r="C62" s="41" t="s">
        <v>146</v>
      </c>
      <c r="D62" s="41">
        <v>155</v>
      </c>
      <c r="E62" s="42">
        <v>189.69230769230799</v>
      </c>
      <c r="F62" s="41" t="s">
        <v>29</v>
      </c>
      <c r="G62" s="38">
        <f t="shared" si="0"/>
        <v>34.692307692307992</v>
      </c>
      <c r="H62" s="43">
        <v>0.52549128839123005</v>
      </c>
      <c r="I62" s="43">
        <v>0.68549747916344606</v>
      </c>
      <c r="J62" s="43">
        <v>1.5</v>
      </c>
      <c r="K62" s="43">
        <v>0.91874068006127996</v>
      </c>
      <c r="L62" s="38">
        <v>11600</v>
      </c>
      <c r="M62" s="38">
        <v>4.0000000000000001E-3</v>
      </c>
      <c r="N62" s="38">
        <v>2900000</v>
      </c>
    </row>
    <row r="63" spans="1:14" ht="22.5" customHeight="1">
      <c r="A63" s="41" t="s">
        <v>147</v>
      </c>
      <c r="B63" s="41"/>
      <c r="C63" s="41" t="s">
        <v>148</v>
      </c>
      <c r="D63" s="41">
        <v>678.4</v>
      </c>
      <c r="E63" s="42">
        <v>681.15384615384596</v>
      </c>
      <c r="F63" s="41" t="s">
        <v>35</v>
      </c>
      <c r="G63" s="38">
        <f t="shared" si="0"/>
        <v>2.7538461538459842</v>
      </c>
      <c r="H63" s="43">
        <v>0.62981342677180097</v>
      </c>
      <c r="I63" s="43">
        <v>8.4913475232858406</v>
      </c>
      <c r="J63" s="43">
        <v>1</v>
      </c>
      <c r="K63" s="43">
        <v>0.979742003414658</v>
      </c>
      <c r="L63" s="38">
        <v>144</v>
      </c>
      <c r="M63" s="38">
        <v>4.0000000000000001E-3</v>
      </c>
      <c r="N63" s="38">
        <v>36000</v>
      </c>
    </row>
    <row r="64" spans="1:14" ht="22.5" customHeight="1">
      <c r="A64" s="41" t="s">
        <v>149</v>
      </c>
      <c r="B64" s="41"/>
      <c r="C64" s="41" t="s">
        <v>150</v>
      </c>
      <c r="D64" s="41">
        <v>188.68</v>
      </c>
      <c r="E64" s="42">
        <v>181.230769230769</v>
      </c>
      <c r="F64" s="41" t="s">
        <v>46</v>
      </c>
      <c r="G64" s="38">
        <f t="shared" si="0"/>
        <v>-7.4492307692310078</v>
      </c>
      <c r="H64" s="43">
        <v>0.31950744847777102</v>
      </c>
      <c r="I64" s="43">
        <v>5.4108558035985803</v>
      </c>
      <c r="J64" s="43">
        <v>0.9</v>
      </c>
      <c r="K64" s="43">
        <v>0.92020518047678401</v>
      </c>
      <c r="L64" s="38">
        <v>1496.8</v>
      </c>
      <c r="M64" s="38">
        <v>4.0000000000000001E-3</v>
      </c>
      <c r="N64" s="38">
        <v>374200</v>
      </c>
    </row>
    <row r="65" spans="1:14" ht="22.5" customHeight="1">
      <c r="A65" s="41" t="s">
        <v>151</v>
      </c>
      <c r="B65" s="41"/>
      <c r="C65" s="41" t="s">
        <v>152</v>
      </c>
      <c r="D65" s="41">
        <v>720.8</v>
      </c>
      <c r="E65" s="42">
        <v>701.23076923076906</v>
      </c>
      <c r="F65" s="41" t="s">
        <v>35</v>
      </c>
      <c r="G65" s="38">
        <f t="shared" si="0"/>
        <v>-19.569230769230899</v>
      </c>
      <c r="H65" s="43">
        <v>0.46463641932850402</v>
      </c>
      <c r="I65" s="43">
        <v>8.2636608950252803</v>
      </c>
      <c r="J65" s="43">
        <v>1</v>
      </c>
      <c r="K65" s="43">
        <v>0.90975939178740495</v>
      </c>
      <c r="L65" s="38">
        <v>36</v>
      </c>
      <c r="M65" s="38">
        <v>4.0000000000000001E-3</v>
      </c>
      <c r="N65" s="38">
        <v>9000</v>
      </c>
    </row>
    <row r="66" spans="1:14" ht="22.5" customHeight="1">
      <c r="A66" s="41" t="s">
        <v>153</v>
      </c>
      <c r="B66" s="41"/>
      <c r="C66" s="41" t="s">
        <v>154</v>
      </c>
      <c r="D66" s="41">
        <v>175</v>
      </c>
      <c r="E66" s="42">
        <v>173.19230769230799</v>
      </c>
      <c r="F66" s="41" t="s">
        <v>46</v>
      </c>
      <c r="G66" s="38">
        <f t="shared" si="0"/>
        <v>-1.8076923076920082</v>
      </c>
      <c r="H66" s="43">
        <v>0.388596408988441</v>
      </c>
      <c r="I66" s="43">
        <v>6.4660638601810598</v>
      </c>
      <c r="J66" s="43">
        <v>0.9</v>
      </c>
      <c r="K66" s="43">
        <v>0.97897998052484603</v>
      </c>
      <c r="L66" s="38">
        <v>898.4</v>
      </c>
      <c r="M66" s="38">
        <v>4.0000000000000001E-3</v>
      </c>
      <c r="N66" s="38">
        <v>224600</v>
      </c>
    </row>
    <row r="67" spans="1:14" ht="22.5" customHeight="1">
      <c r="A67" s="41" t="s">
        <v>155</v>
      </c>
      <c r="B67" s="41"/>
      <c r="C67" s="41" t="s">
        <v>156</v>
      </c>
      <c r="D67" s="41">
        <v>678.4</v>
      </c>
      <c r="E67" s="42">
        <v>652.538461538462</v>
      </c>
      <c r="F67" s="41" t="s">
        <v>32</v>
      </c>
      <c r="G67" s="38">
        <f t="shared" si="0"/>
        <v>-25.861538461537975</v>
      </c>
      <c r="H67" s="43">
        <v>0.443948146381763</v>
      </c>
      <c r="I67" s="43">
        <v>8.4451703047483395</v>
      </c>
      <c r="J67" s="43">
        <v>2</v>
      </c>
      <c r="K67" s="43">
        <v>0.94518507589766199</v>
      </c>
      <c r="L67" s="38">
        <v>32</v>
      </c>
      <c r="M67" s="38">
        <v>4.0000000000000001E-3</v>
      </c>
      <c r="N67" s="38">
        <v>8000</v>
      </c>
    </row>
    <row r="68" spans="1:14" ht="22.5" customHeight="1">
      <c r="A68" s="41" t="s">
        <v>157</v>
      </c>
      <c r="B68" s="41"/>
      <c r="C68" s="41" t="s">
        <v>158</v>
      </c>
      <c r="D68" s="41">
        <v>263</v>
      </c>
      <c r="E68" s="42">
        <v>252.69230769230799</v>
      </c>
      <c r="F68" s="41" t="s">
        <v>32</v>
      </c>
      <c r="G68" s="38">
        <f t="shared" si="0"/>
        <v>-10.307692307692008</v>
      </c>
      <c r="H68" s="43">
        <v>0.56274123389744701</v>
      </c>
      <c r="I68" s="43">
        <v>7.98315053764445</v>
      </c>
      <c r="J68" s="43">
        <v>2</v>
      </c>
      <c r="K68" s="43">
        <v>0.90978975271082296</v>
      </c>
      <c r="L68" s="38">
        <v>137</v>
      </c>
      <c r="M68" s="38">
        <v>4.0000000000000001E-3</v>
      </c>
      <c r="N68" s="38">
        <v>34250</v>
      </c>
    </row>
    <row r="69" spans="1:14" ht="22.5" customHeight="1">
      <c r="A69" s="41" t="s">
        <v>159</v>
      </c>
      <c r="B69" s="41"/>
      <c r="C69" s="41" t="s">
        <v>160</v>
      </c>
      <c r="D69" s="41">
        <v>551.20000000000005</v>
      </c>
      <c r="E69" s="42">
        <v>557.92307692307702</v>
      </c>
      <c r="F69" s="41" t="s">
        <v>32</v>
      </c>
      <c r="G69" s="38">
        <f t="shared" ref="G69:G132" si="1">E69-D69</f>
        <v>6.7230769230769738</v>
      </c>
      <c r="H69" s="43">
        <v>0.84458706383219695</v>
      </c>
      <c r="I69" s="43">
        <v>9.2194444650673297</v>
      </c>
      <c r="J69" s="43">
        <v>2</v>
      </c>
      <c r="K69" s="43">
        <v>0.96915551100043495</v>
      </c>
      <c r="L69" s="38">
        <v>55</v>
      </c>
      <c r="M69" s="38">
        <v>4.0000000000000001E-3</v>
      </c>
      <c r="N69" s="38">
        <v>13750</v>
      </c>
    </row>
    <row r="70" spans="1:14" ht="22.5" customHeight="1">
      <c r="A70" s="41" t="s">
        <v>161</v>
      </c>
      <c r="B70" s="41"/>
      <c r="C70" s="41" t="s">
        <v>162</v>
      </c>
      <c r="D70" s="41">
        <v>381.6</v>
      </c>
      <c r="E70" s="42">
        <v>356.92307692307702</v>
      </c>
      <c r="F70" s="41" t="s">
        <v>46</v>
      </c>
      <c r="G70" s="38">
        <f t="shared" si="1"/>
        <v>-24.676923076923003</v>
      </c>
      <c r="H70" s="43">
        <v>0.350761456923878</v>
      </c>
      <c r="I70" s="43">
        <v>7.6128202920091397</v>
      </c>
      <c r="J70" s="43">
        <v>0.9</v>
      </c>
      <c r="K70" s="43">
        <v>0.94242527701730305</v>
      </c>
      <c r="L70" s="38">
        <v>181.2</v>
      </c>
      <c r="M70" s="38">
        <v>4.0000000000000001E-3</v>
      </c>
      <c r="N70" s="38">
        <v>45300</v>
      </c>
    </row>
    <row r="71" spans="1:14" ht="22.5" customHeight="1">
      <c r="A71" s="41" t="s">
        <v>163</v>
      </c>
      <c r="B71" s="41"/>
      <c r="C71" s="41" t="s">
        <v>164</v>
      </c>
      <c r="D71" s="41">
        <v>188.68</v>
      </c>
      <c r="E71" s="42">
        <v>180.84615384615401</v>
      </c>
      <c r="F71" s="41" t="s">
        <v>46</v>
      </c>
      <c r="G71" s="38">
        <f t="shared" si="1"/>
        <v>-7.8338461538459967</v>
      </c>
      <c r="H71" s="43">
        <v>0.58886228096236004</v>
      </c>
      <c r="I71" s="43">
        <v>3.0856415923456901</v>
      </c>
      <c r="J71" s="43">
        <v>0.9</v>
      </c>
      <c r="K71" s="43">
        <v>0.95407171438437399</v>
      </c>
      <c r="L71" s="38">
        <v>1798.7</v>
      </c>
      <c r="M71" s="38">
        <v>4.0000000000000001E-3</v>
      </c>
      <c r="N71" s="38">
        <v>449675</v>
      </c>
    </row>
    <row r="72" spans="1:14" ht="22.5" customHeight="1">
      <c r="A72" s="41" t="s">
        <v>165</v>
      </c>
      <c r="B72" s="41"/>
      <c r="C72" s="41" t="s">
        <v>166</v>
      </c>
      <c r="D72" s="41">
        <v>225</v>
      </c>
      <c r="E72" s="42">
        <v>213.30769230769201</v>
      </c>
      <c r="F72" s="41" t="s">
        <v>32</v>
      </c>
      <c r="G72" s="38">
        <f t="shared" si="1"/>
        <v>-11.692307692307992</v>
      </c>
      <c r="H72" s="43">
        <v>0.30762761968277003</v>
      </c>
      <c r="I72" s="43">
        <v>8.8664286862479909</v>
      </c>
      <c r="J72" s="43">
        <v>2</v>
      </c>
      <c r="K72" s="43">
        <v>0.99155617662004902</v>
      </c>
      <c r="L72" s="38">
        <v>75.3</v>
      </c>
      <c r="M72" s="38">
        <v>4.0000000000000001E-3</v>
      </c>
      <c r="N72" s="38">
        <v>18825</v>
      </c>
    </row>
    <row r="73" spans="1:14" ht="22.5" customHeight="1">
      <c r="A73" s="41" t="s">
        <v>167</v>
      </c>
      <c r="B73" s="41"/>
      <c r="C73" s="41" t="s">
        <v>168</v>
      </c>
      <c r="D73" s="41">
        <v>143.1</v>
      </c>
      <c r="E73" s="42">
        <v>168.230769230769</v>
      </c>
      <c r="F73" s="41" t="s">
        <v>29</v>
      </c>
      <c r="G73" s="38">
        <f t="shared" si="1"/>
        <v>25.130769230769005</v>
      </c>
      <c r="H73" s="43">
        <v>0.151269364993834</v>
      </c>
      <c r="I73" s="43">
        <v>5.1870105191290303</v>
      </c>
      <c r="J73" s="43">
        <v>1.5</v>
      </c>
      <c r="K73" s="43">
        <v>0.97088247906469505</v>
      </c>
      <c r="L73" s="38">
        <v>7922</v>
      </c>
      <c r="M73" s="38">
        <v>4.0000000000000001E-3</v>
      </c>
      <c r="N73" s="38">
        <v>1980500</v>
      </c>
    </row>
    <row r="74" spans="1:14" ht="22.5" customHeight="1">
      <c r="A74" s="41" t="s">
        <v>169</v>
      </c>
      <c r="B74" s="41"/>
      <c r="C74" s="41" t="s">
        <v>170</v>
      </c>
      <c r="D74" s="41">
        <v>190.8</v>
      </c>
      <c r="E74" s="42">
        <v>192.269230769231</v>
      </c>
      <c r="F74" s="41" t="s">
        <v>46</v>
      </c>
      <c r="G74" s="38">
        <f t="shared" si="1"/>
        <v>1.4692307692309896</v>
      </c>
      <c r="H74" s="43">
        <v>0.69697047396854495</v>
      </c>
      <c r="I74" s="43">
        <v>3.2992249553975701</v>
      </c>
      <c r="J74" s="43">
        <v>0.9</v>
      </c>
      <c r="K74" s="43">
        <v>0.96718157540219296</v>
      </c>
      <c r="L74" s="38">
        <v>2381.4</v>
      </c>
      <c r="M74" s="38">
        <v>4.0000000000000001E-3</v>
      </c>
      <c r="N74" s="38">
        <v>595350</v>
      </c>
    </row>
    <row r="75" spans="1:14" ht="22.5" customHeight="1">
      <c r="A75" s="41" t="s">
        <v>171</v>
      </c>
      <c r="B75" s="41"/>
      <c r="C75" s="41" t="s">
        <v>172</v>
      </c>
      <c r="D75" s="41">
        <v>228.96</v>
      </c>
      <c r="E75" s="42">
        <v>231.230769230769</v>
      </c>
      <c r="F75" s="41" t="s">
        <v>46</v>
      </c>
      <c r="G75" s="38">
        <f t="shared" si="1"/>
        <v>2.2707692307689911</v>
      </c>
      <c r="H75" s="43">
        <v>0.233741754851816</v>
      </c>
      <c r="I75" s="43">
        <v>3.1873136072470598</v>
      </c>
      <c r="J75" s="43">
        <v>0.9</v>
      </c>
      <c r="K75" s="43">
        <v>0.92817526580849397</v>
      </c>
      <c r="L75" s="38">
        <v>1200</v>
      </c>
      <c r="M75" s="38">
        <v>4.0000000000000001E-3</v>
      </c>
      <c r="N75" s="38">
        <v>300000</v>
      </c>
    </row>
    <row r="76" spans="1:14" ht="22.5" customHeight="1">
      <c r="A76" s="41" t="s">
        <v>173</v>
      </c>
      <c r="B76" s="41"/>
      <c r="C76" s="41" t="s">
        <v>174</v>
      </c>
      <c r="D76" s="41">
        <v>318</v>
      </c>
      <c r="E76" s="42">
        <v>307.92307692307702</v>
      </c>
      <c r="F76" s="41" t="s">
        <v>46</v>
      </c>
      <c r="G76" s="38">
        <f t="shared" si="1"/>
        <v>-10.076923076922981</v>
      </c>
      <c r="H76" s="43">
        <v>0.61179865124149302</v>
      </c>
      <c r="I76" s="43">
        <v>6.8637425802217802</v>
      </c>
      <c r="J76" s="43">
        <v>0.9</v>
      </c>
      <c r="K76" s="43">
        <v>0.92885407279858401</v>
      </c>
      <c r="L76" s="38">
        <v>2280</v>
      </c>
      <c r="M76" s="38">
        <v>4.0000000000000001E-3</v>
      </c>
      <c r="N76" s="38">
        <v>570000</v>
      </c>
    </row>
    <row r="77" spans="1:14" ht="22.5" customHeight="1">
      <c r="A77" s="41" t="s">
        <v>175</v>
      </c>
      <c r="B77" s="41"/>
      <c r="C77" s="41" t="s">
        <v>176</v>
      </c>
      <c r="D77" s="41">
        <v>190.8</v>
      </c>
      <c r="E77" s="42">
        <v>199.230769230769</v>
      </c>
      <c r="F77" s="41" t="s">
        <v>46</v>
      </c>
      <c r="G77" s="38">
        <f t="shared" si="1"/>
        <v>8.4307692307689877</v>
      </c>
      <c r="H77" s="43">
        <v>0.64743670844784795</v>
      </c>
      <c r="I77" s="43">
        <v>0.75928559358333203</v>
      </c>
      <c r="J77" s="43">
        <v>0.9</v>
      </c>
      <c r="K77" s="43">
        <v>0.90539146660842396</v>
      </c>
      <c r="L77" s="38">
        <v>2079.8000000000002</v>
      </c>
      <c r="M77" s="38">
        <v>4.0000000000000001E-3</v>
      </c>
      <c r="N77" s="38">
        <v>519950</v>
      </c>
    </row>
    <row r="78" spans="1:14" ht="22.5" customHeight="1">
      <c r="A78" s="41" t="s">
        <v>177</v>
      </c>
      <c r="B78" s="41"/>
      <c r="C78" s="41" t="s">
        <v>178</v>
      </c>
      <c r="D78" s="41">
        <v>275.60000000000002</v>
      </c>
      <c r="E78" s="42">
        <v>268.38461538461502</v>
      </c>
      <c r="F78" s="41" t="s">
        <v>46</v>
      </c>
      <c r="G78" s="38">
        <f t="shared" si="1"/>
        <v>-7.2153846153850054</v>
      </c>
      <c r="H78" s="43">
        <v>0.14530774431756299</v>
      </c>
      <c r="I78" s="43">
        <v>4.8116333015133703</v>
      </c>
      <c r="J78" s="43">
        <v>0.9</v>
      </c>
      <c r="K78" s="43">
        <v>0.95436549833682205</v>
      </c>
      <c r="L78" s="38">
        <v>1898.4</v>
      </c>
      <c r="M78" s="38">
        <v>4.0000000000000001E-3</v>
      </c>
      <c r="N78" s="38">
        <v>474600</v>
      </c>
    </row>
    <row r="79" spans="1:14" ht="22.5" customHeight="1">
      <c r="A79" s="41" t="s">
        <v>179</v>
      </c>
      <c r="B79" s="41"/>
      <c r="C79" s="41" t="s">
        <v>180</v>
      </c>
      <c r="D79" s="41">
        <v>175</v>
      </c>
      <c r="E79" s="42">
        <v>172</v>
      </c>
      <c r="F79" s="41" t="s">
        <v>46</v>
      </c>
      <c r="G79" s="38">
        <f t="shared" si="1"/>
        <v>-3</v>
      </c>
      <c r="H79" s="43">
        <v>0.77560816927060505</v>
      </c>
      <c r="I79" s="43">
        <v>6.5538058254958598</v>
      </c>
      <c r="J79" s="43">
        <v>0.9</v>
      </c>
      <c r="K79" s="43">
        <v>0.93931543191550304</v>
      </c>
      <c r="L79" s="38">
        <v>2400</v>
      </c>
      <c r="M79" s="38">
        <v>4.0000000000000001E-3</v>
      </c>
      <c r="N79" s="38">
        <v>600000</v>
      </c>
    </row>
    <row r="80" spans="1:14" ht="22.5" customHeight="1">
      <c r="A80" s="41" t="s">
        <v>181</v>
      </c>
      <c r="B80" s="41"/>
      <c r="C80" s="41" t="s">
        <v>182</v>
      </c>
      <c r="D80" s="41">
        <v>848</v>
      </c>
      <c r="E80" s="42">
        <v>837.25384615384598</v>
      </c>
      <c r="F80" s="41" t="s">
        <v>35</v>
      </c>
      <c r="G80" s="38">
        <f t="shared" si="1"/>
        <v>-10.746153846154016</v>
      </c>
      <c r="H80" s="43">
        <v>0.73166489114154498</v>
      </c>
      <c r="I80" s="43">
        <v>2.8862588671090901</v>
      </c>
      <c r="J80" s="43">
        <v>1</v>
      </c>
      <c r="K80" s="43">
        <v>0.90111530644966997</v>
      </c>
      <c r="L80" s="38">
        <v>268</v>
      </c>
      <c r="M80" s="38">
        <v>4.0000000000000001E-3</v>
      </c>
      <c r="N80" s="38">
        <v>67000</v>
      </c>
    </row>
    <row r="81" spans="1:14" ht="22.5" customHeight="1">
      <c r="A81" s="41" t="s">
        <v>183</v>
      </c>
      <c r="B81" s="41"/>
      <c r="C81" s="41" t="s">
        <v>184</v>
      </c>
      <c r="D81" s="41">
        <v>339.2</v>
      </c>
      <c r="E81" s="42">
        <v>336.30769230769198</v>
      </c>
      <c r="F81" s="41" t="s">
        <v>32</v>
      </c>
      <c r="G81" s="38">
        <f t="shared" si="1"/>
        <v>-2.8923076923080089</v>
      </c>
      <c r="H81" s="43">
        <v>4.05919704073541E-2</v>
      </c>
      <c r="I81" s="43">
        <v>0.211796354895737</v>
      </c>
      <c r="J81" s="43">
        <v>2</v>
      </c>
      <c r="K81" s="43">
        <v>0.91113864124322796</v>
      </c>
      <c r="L81" s="38">
        <v>420</v>
      </c>
      <c r="M81" s="38">
        <v>4.0000000000000001E-3</v>
      </c>
      <c r="N81" s="38">
        <v>105000</v>
      </c>
    </row>
    <row r="82" spans="1:14" ht="22.5" customHeight="1">
      <c r="A82" s="41" t="s">
        <v>185</v>
      </c>
      <c r="B82" s="41"/>
      <c r="C82" s="41" t="s">
        <v>186</v>
      </c>
      <c r="D82" s="41">
        <v>159</v>
      </c>
      <c r="E82" s="42">
        <v>158.769230769231</v>
      </c>
      <c r="F82" s="41" t="s">
        <v>32</v>
      </c>
      <c r="G82" s="38">
        <f t="shared" si="1"/>
        <v>-0.23076923076899902</v>
      </c>
      <c r="H82" s="43">
        <v>0.19422832291212999</v>
      </c>
      <c r="I82" s="43">
        <v>1.31707050961328</v>
      </c>
      <c r="J82" s="43">
        <v>2</v>
      </c>
      <c r="K82" s="43">
        <v>0.93710277127678798</v>
      </c>
      <c r="L82" s="38">
        <v>2200</v>
      </c>
      <c r="M82" s="38">
        <v>4.0000000000000001E-3</v>
      </c>
      <c r="N82" s="38">
        <v>550000</v>
      </c>
    </row>
    <row r="83" spans="1:14" ht="22.5" customHeight="1">
      <c r="A83" s="41" t="s">
        <v>187</v>
      </c>
      <c r="B83" s="41"/>
      <c r="C83" s="41" t="s">
        <v>188</v>
      </c>
      <c r="D83" s="41">
        <v>263</v>
      </c>
      <c r="E83" s="42">
        <v>261.676923076923</v>
      </c>
      <c r="F83" s="41" t="s">
        <v>32</v>
      </c>
      <c r="G83" s="38">
        <f t="shared" si="1"/>
        <v>-1.3230769230769965</v>
      </c>
      <c r="H83" s="43">
        <v>0.514189604004613</v>
      </c>
      <c r="I83" s="43">
        <v>1.16753821204438</v>
      </c>
      <c r="J83" s="43">
        <v>2</v>
      </c>
      <c r="K83" s="43">
        <v>0.99892553420163799</v>
      </c>
      <c r="L83" s="38">
        <v>272</v>
      </c>
      <c r="M83" s="38">
        <v>4.0000000000000001E-3</v>
      </c>
      <c r="N83" s="38">
        <v>68000</v>
      </c>
    </row>
    <row r="84" spans="1:14" ht="22.5" customHeight="1">
      <c r="A84" s="41" t="s">
        <v>189</v>
      </c>
      <c r="B84" s="41"/>
      <c r="C84" s="41" t="s">
        <v>190</v>
      </c>
      <c r="D84" s="41">
        <v>201.4</v>
      </c>
      <c r="E84" s="42">
        <v>212.461538461538</v>
      </c>
      <c r="F84" s="41" t="s">
        <v>32</v>
      </c>
      <c r="G84" s="38">
        <f t="shared" si="1"/>
        <v>11.061538461537992</v>
      </c>
      <c r="H84" s="43">
        <v>0.76518460499483698</v>
      </c>
      <c r="I84" s="43">
        <v>7.3573371034533102</v>
      </c>
      <c r="J84" s="43">
        <v>2</v>
      </c>
      <c r="K84" s="43">
        <v>0.97482026989521797</v>
      </c>
      <c r="L84" s="38">
        <v>930</v>
      </c>
      <c r="M84" s="38">
        <v>4.0000000000000001E-3</v>
      </c>
      <c r="N84" s="38">
        <v>232500</v>
      </c>
    </row>
    <row r="85" spans="1:14" ht="22.5" customHeight="1">
      <c r="A85" s="41" t="s">
        <v>191</v>
      </c>
      <c r="B85" s="41"/>
      <c r="C85" s="41" t="s">
        <v>192</v>
      </c>
      <c r="D85" s="41">
        <v>339.2</v>
      </c>
      <c r="E85" s="42">
        <v>344.84615384615398</v>
      </c>
      <c r="F85" s="41" t="s">
        <v>32</v>
      </c>
      <c r="G85" s="38">
        <f t="shared" si="1"/>
        <v>5.6461538461539931</v>
      </c>
      <c r="H85" s="43">
        <v>0.94264622313711199</v>
      </c>
      <c r="I85" s="43">
        <v>6.2796078330006102</v>
      </c>
      <c r="J85" s="43">
        <v>2</v>
      </c>
      <c r="K85" s="43">
        <v>0.99873031070863805</v>
      </c>
      <c r="L85" s="38">
        <v>250</v>
      </c>
      <c r="M85" s="38">
        <v>4.0000000000000001E-3</v>
      </c>
      <c r="N85" s="38">
        <v>62500</v>
      </c>
    </row>
    <row r="86" spans="1:14" ht="22.5" customHeight="1">
      <c r="A86" s="41" t="s">
        <v>193</v>
      </c>
      <c r="B86" s="41"/>
      <c r="C86" s="41" t="s">
        <v>194</v>
      </c>
      <c r="D86" s="41">
        <v>678.4</v>
      </c>
      <c r="E86" s="42">
        <v>1245.76923076923</v>
      </c>
      <c r="F86" s="41" t="s">
        <v>32</v>
      </c>
      <c r="G86" s="38">
        <f t="shared" si="1"/>
        <v>567.36923076923006</v>
      </c>
      <c r="H86" s="43">
        <v>0.88675348570782297</v>
      </c>
      <c r="I86" s="43">
        <v>8.6618918334018193</v>
      </c>
      <c r="J86" s="43">
        <v>2</v>
      </c>
      <c r="K86" s="43">
        <v>0.95024064274573194</v>
      </c>
      <c r="L86" s="38">
        <v>28</v>
      </c>
      <c r="M86" s="38">
        <v>4.0000000000000001E-3</v>
      </c>
      <c r="N86" s="38">
        <v>7000</v>
      </c>
    </row>
    <row r="87" spans="1:14" ht="22.5" customHeight="1">
      <c r="A87" s="41" t="s">
        <v>195</v>
      </c>
      <c r="B87" s="41"/>
      <c r="C87" s="41" t="s">
        <v>196</v>
      </c>
      <c r="D87" s="41">
        <v>275.60000000000002</v>
      </c>
      <c r="E87" s="42">
        <v>258.30769230769198</v>
      </c>
      <c r="F87" s="41" t="s">
        <v>46</v>
      </c>
      <c r="G87" s="38">
        <f t="shared" si="1"/>
        <v>-17.292307692308043</v>
      </c>
      <c r="H87" s="43">
        <v>0.67604739382830703</v>
      </c>
      <c r="I87" s="43">
        <v>2.0241553848568601</v>
      </c>
      <c r="J87" s="43">
        <v>0.9</v>
      </c>
      <c r="K87" s="43">
        <v>0.98508347688520703</v>
      </c>
      <c r="L87" s="38">
        <v>150.5</v>
      </c>
      <c r="M87" s="38">
        <v>4.0000000000000001E-3</v>
      </c>
      <c r="N87" s="38">
        <v>37625</v>
      </c>
    </row>
    <row r="88" spans="1:14" ht="22.5" customHeight="1">
      <c r="A88" s="41" t="s">
        <v>197</v>
      </c>
      <c r="B88" s="41"/>
      <c r="C88" s="41" t="s">
        <v>198</v>
      </c>
      <c r="D88" s="41">
        <v>121.9</v>
      </c>
      <c r="E88" s="42">
        <v>126.92307692307701</v>
      </c>
      <c r="F88" s="41" t="s">
        <v>46</v>
      </c>
      <c r="G88" s="38">
        <f t="shared" si="1"/>
        <v>5.0230769230769994</v>
      </c>
      <c r="H88" s="43">
        <v>0.79384616562229204</v>
      </c>
      <c r="I88" s="43">
        <v>9.7761920456217908</v>
      </c>
      <c r="J88" s="43">
        <v>0.9</v>
      </c>
      <c r="K88" s="43">
        <v>0.99049412174725204</v>
      </c>
      <c r="L88" s="38">
        <v>399</v>
      </c>
      <c r="M88" s="38">
        <v>4.0000000000000001E-3</v>
      </c>
      <c r="N88" s="38">
        <v>99750</v>
      </c>
    </row>
    <row r="89" spans="1:14" ht="22.5" customHeight="1">
      <c r="A89" s="41" t="s">
        <v>199</v>
      </c>
      <c r="B89" s="41"/>
      <c r="C89" s="41" t="s">
        <v>200</v>
      </c>
      <c r="D89" s="41">
        <v>175</v>
      </c>
      <c r="E89" s="42">
        <v>163.69230769230799</v>
      </c>
      <c r="F89" s="41" t="s">
        <v>46</v>
      </c>
      <c r="G89" s="38">
        <f t="shared" si="1"/>
        <v>-11.307692307692008</v>
      </c>
      <c r="H89" s="43">
        <v>0.192588354235146</v>
      </c>
      <c r="I89" s="43">
        <v>3.80064147173213</v>
      </c>
      <c r="J89" s="43">
        <v>0.9</v>
      </c>
      <c r="K89" s="43">
        <v>0.99819622145761799</v>
      </c>
      <c r="L89" s="38">
        <v>2688</v>
      </c>
      <c r="M89" s="38">
        <v>4.0000000000000001E-3</v>
      </c>
      <c r="N89" s="38">
        <v>672000</v>
      </c>
    </row>
    <row r="90" spans="1:14" ht="22.5" customHeight="1">
      <c r="A90" s="41" t="s">
        <v>201</v>
      </c>
      <c r="B90" s="41"/>
      <c r="C90" s="41" t="s">
        <v>202</v>
      </c>
      <c r="D90" s="41">
        <v>71</v>
      </c>
      <c r="E90" s="42">
        <v>80.230769230769198</v>
      </c>
      <c r="F90" s="41" t="s">
        <v>29</v>
      </c>
      <c r="G90" s="38">
        <f t="shared" si="1"/>
        <v>9.230769230769198</v>
      </c>
      <c r="H90" s="43">
        <v>0.12904094264083199</v>
      </c>
      <c r="I90" s="43">
        <v>8.2696288911469296</v>
      </c>
      <c r="J90" s="43">
        <v>1.5</v>
      </c>
      <c r="K90" s="43">
        <v>0.91544199334786402</v>
      </c>
      <c r="L90" s="38">
        <v>4900</v>
      </c>
      <c r="M90" s="38">
        <v>4.0000000000000001E-3</v>
      </c>
      <c r="N90" s="38">
        <v>1225000</v>
      </c>
    </row>
    <row r="91" spans="1:14" ht="22.5" customHeight="1">
      <c r="A91" s="41" t="s">
        <v>203</v>
      </c>
      <c r="B91" s="41"/>
      <c r="C91" s="41" t="s">
        <v>204</v>
      </c>
      <c r="D91" s="41">
        <v>339.2</v>
      </c>
      <c r="E91" s="42">
        <v>322.769230769231</v>
      </c>
      <c r="F91" s="41" t="s">
        <v>35</v>
      </c>
      <c r="G91" s="38">
        <f t="shared" si="1"/>
        <v>-16.430769230768988</v>
      </c>
      <c r="H91" s="43">
        <v>0.82345295877315094</v>
      </c>
      <c r="I91" s="43">
        <v>9.2072390231203602</v>
      </c>
      <c r="J91" s="43">
        <v>1</v>
      </c>
      <c r="K91" s="43">
        <v>0.91511563614014102</v>
      </c>
      <c r="L91" s="38">
        <v>950</v>
      </c>
      <c r="M91" s="38">
        <v>4.0000000000000001E-3</v>
      </c>
      <c r="N91" s="38">
        <v>237500</v>
      </c>
    </row>
    <row r="92" spans="1:14" ht="22.5" customHeight="1">
      <c r="A92" s="41" t="s">
        <v>205</v>
      </c>
      <c r="B92" s="41"/>
      <c r="C92" s="41" t="s">
        <v>206</v>
      </c>
      <c r="D92" s="41">
        <v>185.5</v>
      </c>
      <c r="E92" s="42">
        <v>172.84615384615401</v>
      </c>
      <c r="F92" s="41" t="s">
        <v>46</v>
      </c>
      <c r="G92" s="38">
        <f t="shared" si="1"/>
        <v>-12.65384615384599</v>
      </c>
      <c r="H92" s="43">
        <v>0.159107282004087</v>
      </c>
      <c r="I92" s="43">
        <v>4.17270318241704</v>
      </c>
      <c r="J92" s="43">
        <v>0.9</v>
      </c>
      <c r="K92" s="43">
        <v>0.94689786750975502</v>
      </c>
      <c r="L92" s="38">
        <v>1832</v>
      </c>
      <c r="M92" s="38">
        <v>4.0000000000000001E-3</v>
      </c>
      <c r="N92" s="38">
        <v>458000</v>
      </c>
    </row>
    <row r="93" spans="1:14" ht="22.5" customHeight="1">
      <c r="A93" s="41" t="s">
        <v>207</v>
      </c>
      <c r="B93" s="41"/>
      <c r="C93" s="41" t="s">
        <v>208</v>
      </c>
      <c r="D93" s="41">
        <v>121.9</v>
      </c>
      <c r="E93" s="42">
        <v>133.30769230769201</v>
      </c>
      <c r="F93" s="41" t="s">
        <v>35</v>
      </c>
      <c r="G93" s="38">
        <f t="shared" si="1"/>
        <v>11.407692307692002</v>
      </c>
      <c r="H93" s="43">
        <v>0.44271735006965701</v>
      </c>
      <c r="I93" s="43">
        <v>3.9704756584681098</v>
      </c>
      <c r="J93" s="43">
        <v>1</v>
      </c>
      <c r="K93" s="43">
        <v>0.99884977705797096</v>
      </c>
      <c r="L93" s="38">
        <v>1686</v>
      </c>
      <c r="M93" s="38">
        <v>4.0000000000000001E-3</v>
      </c>
      <c r="N93" s="38">
        <v>421500</v>
      </c>
    </row>
    <row r="94" spans="1:14" ht="22.5" customHeight="1">
      <c r="A94" s="41" t="s">
        <v>209</v>
      </c>
      <c r="B94" s="41"/>
      <c r="C94" s="41" t="s">
        <v>210</v>
      </c>
      <c r="D94" s="41">
        <v>678.4</v>
      </c>
      <c r="E94" s="42">
        <v>639.92307692307702</v>
      </c>
      <c r="F94" s="41" t="s">
        <v>32</v>
      </c>
      <c r="G94" s="38">
        <f t="shared" si="1"/>
        <v>-38.476923076922958</v>
      </c>
      <c r="H94" s="43">
        <v>0.69461920695923296</v>
      </c>
      <c r="I94" s="43">
        <v>6.2550158019240101</v>
      </c>
      <c r="J94" s="43">
        <v>2</v>
      </c>
      <c r="K94" s="43">
        <v>0.90511080404855204</v>
      </c>
      <c r="L94" s="38">
        <v>8</v>
      </c>
      <c r="M94" s="38">
        <v>4.0000000000000001E-3</v>
      </c>
      <c r="N94" s="38">
        <v>2000</v>
      </c>
    </row>
    <row r="95" spans="1:14" ht="22.5" customHeight="1">
      <c r="A95" s="41" t="s">
        <v>211</v>
      </c>
      <c r="B95" s="41"/>
      <c r="C95" s="41" t="s">
        <v>212</v>
      </c>
      <c r="D95" s="41">
        <v>248.04</v>
      </c>
      <c r="E95" s="42">
        <v>229.61538461538501</v>
      </c>
      <c r="F95" s="41" t="s">
        <v>32</v>
      </c>
      <c r="G95" s="38">
        <f t="shared" si="1"/>
        <v>-18.424615384614981</v>
      </c>
      <c r="H95" s="43">
        <v>0.33455858949267298</v>
      </c>
      <c r="I95" s="43">
        <v>6.3143892443218697</v>
      </c>
      <c r="J95" s="43">
        <v>2</v>
      </c>
      <c r="K95" s="43">
        <v>0.92524479665064796</v>
      </c>
      <c r="L95" s="38">
        <v>125.9</v>
      </c>
      <c r="M95" s="38">
        <v>4.0000000000000001E-3</v>
      </c>
      <c r="N95" s="38">
        <v>31475</v>
      </c>
    </row>
    <row r="96" spans="1:14" ht="22.5" customHeight="1">
      <c r="A96" s="41" t="s">
        <v>213</v>
      </c>
      <c r="B96" s="41"/>
      <c r="C96" s="41" t="s">
        <v>214</v>
      </c>
      <c r="D96" s="41">
        <v>88</v>
      </c>
      <c r="E96" s="42">
        <v>89.269230769230802</v>
      </c>
      <c r="F96" s="41" t="s">
        <v>46</v>
      </c>
      <c r="G96" s="38">
        <f t="shared" si="1"/>
        <v>1.269230769230802</v>
      </c>
      <c r="H96" s="43">
        <v>0.51996168106774299</v>
      </c>
      <c r="I96" s="43">
        <v>4.0435323274414596</v>
      </c>
      <c r="J96" s="43">
        <v>0.9</v>
      </c>
      <c r="K96" s="43">
        <v>0.98071167207969101</v>
      </c>
      <c r="L96" s="38">
        <v>0.24</v>
      </c>
      <c r="M96" s="38">
        <v>4.0000000000000001E-3</v>
      </c>
      <c r="N96" s="38">
        <v>60</v>
      </c>
    </row>
    <row r="97" spans="1:14" ht="22.5" customHeight="1">
      <c r="A97" s="41" t="s">
        <v>215</v>
      </c>
      <c r="B97" s="41"/>
      <c r="C97" s="41" t="s">
        <v>216</v>
      </c>
      <c r="D97" s="41">
        <v>225</v>
      </c>
      <c r="E97" s="42">
        <v>149.538461538462</v>
      </c>
      <c r="F97" s="41" t="s">
        <v>32</v>
      </c>
      <c r="G97" s="38">
        <f t="shared" si="1"/>
        <v>-75.461538461537998</v>
      </c>
      <c r="H97" s="43">
        <v>0.30684886135732897</v>
      </c>
      <c r="I97" s="43">
        <v>7.7353156944899597</v>
      </c>
      <c r="J97" s="43">
        <v>2</v>
      </c>
      <c r="K97" s="43">
        <v>0.94310155741886004</v>
      </c>
      <c r="L97" s="38">
        <v>52.8</v>
      </c>
      <c r="M97" s="38">
        <v>4.0000000000000001E-3</v>
      </c>
      <c r="N97" s="38">
        <v>13200</v>
      </c>
    </row>
    <row r="98" spans="1:14" ht="22.5" customHeight="1">
      <c r="A98" s="41" t="s">
        <v>217</v>
      </c>
      <c r="B98" s="41"/>
      <c r="C98" s="41" t="s">
        <v>218</v>
      </c>
      <c r="D98" s="41">
        <v>132.5</v>
      </c>
      <c r="E98" s="42">
        <v>135.69230769230799</v>
      </c>
      <c r="F98" s="41" t="s">
        <v>46</v>
      </c>
      <c r="G98" s="38">
        <f t="shared" si="1"/>
        <v>3.1923076923079918</v>
      </c>
      <c r="H98" s="43">
        <v>0.98804911762143199</v>
      </c>
      <c r="I98" s="43">
        <v>4.9537121149554002</v>
      </c>
      <c r="J98" s="43">
        <v>0.9</v>
      </c>
      <c r="K98" s="43">
        <v>0.94495915980262701</v>
      </c>
      <c r="L98" s="38">
        <v>0.192</v>
      </c>
      <c r="M98" s="38">
        <v>4.0000000000000001E-3</v>
      </c>
      <c r="N98" s="38">
        <v>48</v>
      </c>
    </row>
    <row r="99" spans="1:14" ht="22.5" customHeight="1">
      <c r="A99" s="41" t="s">
        <v>219</v>
      </c>
      <c r="B99" s="41"/>
      <c r="C99" s="41" t="s">
        <v>220</v>
      </c>
      <c r="D99" s="41">
        <v>71</v>
      </c>
      <c r="E99" s="42">
        <v>88.615384615384599</v>
      </c>
      <c r="F99" s="41" t="s">
        <v>29</v>
      </c>
      <c r="G99" s="38">
        <f t="shared" si="1"/>
        <v>17.615384615384599</v>
      </c>
      <c r="H99" s="43">
        <v>0.23568902065615099</v>
      </c>
      <c r="I99" s="43">
        <v>6.0766685290520002</v>
      </c>
      <c r="J99" s="43">
        <v>1.5</v>
      </c>
      <c r="K99" s="43">
        <v>0.92548670539864697</v>
      </c>
      <c r="L99" s="38">
        <v>3900</v>
      </c>
      <c r="M99" s="38">
        <v>4.0000000000000001E-3</v>
      </c>
      <c r="N99" s="38">
        <v>975000</v>
      </c>
    </row>
    <row r="100" spans="1:14" ht="22.5" customHeight="1">
      <c r="A100" s="41" t="s">
        <v>221</v>
      </c>
      <c r="B100" s="41"/>
      <c r="C100" s="41" t="s">
        <v>222</v>
      </c>
      <c r="D100" s="41">
        <v>158</v>
      </c>
      <c r="E100" s="42">
        <v>135.769230769231</v>
      </c>
      <c r="F100" s="41" t="s">
        <v>35</v>
      </c>
      <c r="G100" s="38">
        <f t="shared" si="1"/>
        <v>-22.230769230768999</v>
      </c>
      <c r="H100" s="43">
        <v>0.49380281510961399</v>
      </c>
      <c r="I100" s="43">
        <v>4.9640089411613202</v>
      </c>
      <c r="J100" s="43">
        <v>1</v>
      </c>
      <c r="K100" s="43">
        <v>0.92186142822628503</v>
      </c>
      <c r="L100" s="38">
        <v>395</v>
      </c>
      <c r="M100" s="38">
        <v>4.0000000000000001E-3</v>
      </c>
      <c r="N100" s="38">
        <v>98750</v>
      </c>
    </row>
    <row r="101" spans="1:14" ht="22.5" customHeight="1">
      <c r="A101" s="41" t="s">
        <v>223</v>
      </c>
      <c r="B101" s="41"/>
      <c r="C101" s="41" t="s">
        <v>224</v>
      </c>
      <c r="D101" s="41">
        <v>143.1</v>
      </c>
      <c r="E101" s="42">
        <v>172.30769230769201</v>
      </c>
      <c r="F101" s="41" t="s">
        <v>35</v>
      </c>
      <c r="G101" s="38">
        <f t="shared" si="1"/>
        <v>29.207692307692014</v>
      </c>
      <c r="H101" s="43">
        <v>0.32386675266986698</v>
      </c>
      <c r="I101" s="43">
        <v>7.5845377744527998</v>
      </c>
      <c r="J101" s="43">
        <v>1</v>
      </c>
      <c r="K101" s="43">
        <v>0.98418766462979601</v>
      </c>
      <c r="L101" s="38">
        <v>2700</v>
      </c>
      <c r="M101" s="38">
        <v>4.0000000000000001E-3</v>
      </c>
      <c r="N101" s="38">
        <v>675000</v>
      </c>
    </row>
    <row r="102" spans="1:14" ht="22.5" customHeight="1">
      <c r="A102" s="41" t="s">
        <v>225</v>
      </c>
      <c r="B102" s="41"/>
      <c r="C102" s="41" t="s">
        <v>226</v>
      </c>
      <c r="D102" s="41">
        <v>114.5</v>
      </c>
      <c r="E102" s="42">
        <v>145.61538461538501</v>
      </c>
      <c r="F102" s="41" t="s">
        <v>35</v>
      </c>
      <c r="G102" s="38">
        <f t="shared" si="1"/>
        <v>31.115384615385011</v>
      </c>
      <c r="H102" s="43">
        <v>0.19809034987406501</v>
      </c>
      <c r="I102" s="43">
        <v>0.57846677549024295</v>
      </c>
      <c r="J102" s="43">
        <v>1</v>
      </c>
      <c r="K102" s="43">
        <v>0.95126346231133896</v>
      </c>
      <c r="L102" s="38">
        <v>1600</v>
      </c>
      <c r="M102" s="38">
        <v>4.0000000000000001E-3</v>
      </c>
      <c r="N102" s="38">
        <v>400000</v>
      </c>
    </row>
    <row r="103" spans="1:14" ht="22.5" customHeight="1">
      <c r="A103" s="41" t="s">
        <v>227</v>
      </c>
      <c r="B103" s="41"/>
      <c r="C103" s="41" t="s">
        <v>228</v>
      </c>
      <c r="D103" s="41">
        <v>201.4</v>
      </c>
      <c r="E103" s="42">
        <v>192.538461538462</v>
      </c>
      <c r="F103" s="41" t="s">
        <v>35</v>
      </c>
      <c r="G103" s="38">
        <f t="shared" si="1"/>
        <v>-8.8615384615380037</v>
      </c>
      <c r="H103" s="43">
        <v>0.94651974242263004</v>
      </c>
      <c r="I103" s="43">
        <v>8.5039755709229592</v>
      </c>
      <c r="J103" s="43">
        <v>1</v>
      </c>
      <c r="K103" s="43">
        <v>0.93165427842787996</v>
      </c>
      <c r="L103" s="38">
        <v>450</v>
      </c>
      <c r="M103" s="38">
        <v>4.0000000000000001E-3</v>
      </c>
      <c r="N103" s="38">
        <v>112500</v>
      </c>
    </row>
    <row r="104" spans="1:14" ht="22.5" customHeight="1">
      <c r="A104" s="41" t="s">
        <v>229</v>
      </c>
      <c r="B104" s="41"/>
      <c r="C104" s="41" t="s">
        <v>230</v>
      </c>
      <c r="D104" s="41">
        <v>129.30000000000001</v>
      </c>
      <c r="E104" s="42">
        <v>130.61538461538501</v>
      </c>
      <c r="F104" s="41" t="s">
        <v>46</v>
      </c>
      <c r="G104" s="38">
        <f t="shared" si="1"/>
        <v>1.3153846153849997</v>
      </c>
      <c r="H104" s="43">
        <v>0.45390375780991499</v>
      </c>
      <c r="I104" s="43">
        <v>2.98326870771769</v>
      </c>
      <c r="J104" s="43">
        <v>0.9</v>
      </c>
      <c r="K104" s="43">
        <v>0.936383348543259</v>
      </c>
      <c r="L104" s="38">
        <v>715.5</v>
      </c>
      <c r="M104" s="38">
        <v>4.0000000000000001E-3</v>
      </c>
      <c r="N104" s="38">
        <v>178875</v>
      </c>
    </row>
    <row r="105" spans="1:14" ht="22.5" customHeight="1">
      <c r="A105" s="41" t="s">
        <v>231</v>
      </c>
      <c r="B105" s="41"/>
      <c r="C105" s="41" t="s">
        <v>232</v>
      </c>
      <c r="D105" s="41">
        <v>158</v>
      </c>
      <c r="E105" s="42">
        <v>143.230769230769</v>
      </c>
      <c r="F105" s="41" t="s">
        <v>46</v>
      </c>
      <c r="G105" s="38">
        <f t="shared" si="1"/>
        <v>-14.769230769231001</v>
      </c>
      <c r="H105" s="43">
        <v>0.96522801079901599</v>
      </c>
      <c r="I105" s="43">
        <v>5.6617201207585603</v>
      </c>
      <c r="J105" s="43">
        <v>0.9</v>
      </c>
      <c r="K105" s="43">
        <v>0.94906031178440697</v>
      </c>
      <c r="L105" s="38">
        <v>59.5</v>
      </c>
      <c r="M105" s="38">
        <v>4.0000000000000001E-3</v>
      </c>
      <c r="N105" s="38">
        <v>14875</v>
      </c>
    </row>
    <row r="106" spans="1:14" ht="22.5" customHeight="1">
      <c r="A106" s="41" t="s">
        <v>233</v>
      </c>
      <c r="B106" s="41"/>
      <c r="C106" s="41" t="s">
        <v>234</v>
      </c>
      <c r="D106" s="41">
        <v>219.42</v>
      </c>
      <c r="E106" s="42">
        <v>200.230769230769</v>
      </c>
      <c r="F106" s="41" t="s">
        <v>32</v>
      </c>
      <c r="G106" s="38">
        <f t="shared" si="1"/>
        <v>-19.189230769230988</v>
      </c>
      <c r="H106" s="43">
        <v>0.325335269646081</v>
      </c>
      <c r="I106" s="43">
        <v>5.9918083906357102</v>
      </c>
      <c r="J106" s="43">
        <v>2</v>
      </c>
      <c r="K106" s="43">
        <v>0.91232260419922195</v>
      </c>
      <c r="L106" s="38">
        <v>111</v>
      </c>
      <c r="M106" s="38">
        <v>4.0000000000000001E-3</v>
      </c>
      <c r="N106" s="38">
        <v>27750</v>
      </c>
    </row>
    <row r="107" spans="1:14" ht="22.5" customHeight="1">
      <c r="A107" s="41" t="s">
        <v>235</v>
      </c>
      <c r="B107" s="41"/>
      <c r="C107" s="41" t="s">
        <v>236</v>
      </c>
      <c r="D107" s="41">
        <v>66.78</v>
      </c>
      <c r="E107" s="42">
        <v>72.846153846153797</v>
      </c>
      <c r="F107" s="41" t="s">
        <v>32</v>
      </c>
      <c r="G107" s="38">
        <f t="shared" si="1"/>
        <v>6.0661538461537958</v>
      </c>
      <c r="H107" s="43">
        <v>2.6900582788937501E-2</v>
      </c>
      <c r="I107" s="43">
        <v>1.70190208923255</v>
      </c>
      <c r="J107" s="43">
        <v>2</v>
      </c>
      <c r="K107" s="43">
        <v>0.98445132699633797</v>
      </c>
      <c r="L107" s="38">
        <v>400</v>
      </c>
      <c r="M107" s="38">
        <v>4.0000000000000001E-3</v>
      </c>
      <c r="N107" s="38">
        <v>100000</v>
      </c>
    </row>
    <row r="108" spans="1:14" ht="22.5" customHeight="1">
      <c r="A108" s="41" t="s">
        <v>237</v>
      </c>
      <c r="B108" s="41"/>
      <c r="C108" s="41" t="s">
        <v>238</v>
      </c>
      <c r="D108" s="41">
        <v>121.9</v>
      </c>
      <c r="E108" s="42">
        <v>115</v>
      </c>
      <c r="F108" s="41" t="s">
        <v>32</v>
      </c>
      <c r="G108" s="38">
        <f t="shared" si="1"/>
        <v>-6.9000000000000057</v>
      </c>
      <c r="H108" s="43">
        <v>0.95259690294126798</v>
      </c>
      <c r="I108" s="43">
        <v>3.01105741626316</v>
      </c>
      <c r="J108" s="43">
        <v>2</v>
      </c>
      <c r="K108" s="43">
        <v>0.93035499370657404</v>
      </c>
      <c r="L108" s="38">
        <v>250</v>
      </c>
      <c r="M108" s="38">
        <v>4.0000000000000001E-3</v>
      </c>
      <c r="N108" s="38">
        <v>62500</v>
      </c>
    </row>
    <row r="109" spans="1:14" ht="22.5" customHeight="1">
      <c r="A109" s="41" t="s">
        <v>239</v>
      </c>
      <c r="B109" s="41"/>
      <c r="C109" s="41" t="s">
        <v>240</v>
      </c>
      <c r="D109" s="41">
        <v>167.48</v>
      </c>
      <c r="E109" s="42">
        <v>166.57692307692301</v>
      </c>
      <c r="F109" s="41" t="s">
        <v>32</v>
      </c>
      <c r="G109" s="38">
        <f t="shared" si="1"/>
        <v>-0.90307692307698062</v>
      </c>
      <c r="H109" s="43">
        <v>0.93209151625445996</v>
      </c>
      <c r="I109" s="43">
        <v>5.0306115223869297</v>
      </c>
      <c r="J109" s="43">
        <v>2</v>
      </c>
      <c r="K109" s="43">
        <v>0.98920538971886895</v>
      </c>
      <c r="L109" s="38">
        <v>2075.8000000000002</v>
      </c>
      <c r="M109" s="38">
        <v>4.0000000000000001E-3</v>
      </c>
      <c r="N109" s="38">
        <v>518950</v>
      </c>
    </row>
    <row r="110" spans="1:14" ht="22.5" customHeight="1">
      <c r="A110" s="41" t="s">
        <v>241</v>
      </c>
      <c r="B110" s="41"/>
      <c r="C110" s="41" t="s">
        <v>242</v>
      </c>
      <c r="D110" s="41">
        <v>424</v>
      </c>
      <c r="E110" s="42">
        <v>386</v>
      </c>
      <c r="F110" s="41" t="s">
        <v>32</v>
      </c>
      <c r="G110" s="38">
        <f t="shared" si="1"/>
        <v>-38</v>
      </c>
      <c r="H110" s="43">
        <v>0.65345303762982998</v>
      </c>
      <c r="I110" s="43">
        <v>5.7442670287576298</v>
      </c>
      <c r="J110" s="43">
        <v>2</v>
      </c>
      <c r="K110" s="43">
        <v>0.93161302152679903</v>
      </c>
      <c r="L110" s="38">
        <v>45.6</v>
      </c>
      <c r="M110" s="38">
        <v>4.0000000000000001E-3</v>
      </c>
      <c r="N110" s="38">
        <v>11400</v>
      </c>
    </row>
    <row r="111" spans="1:14" ht="22.5" customHeight="1">
      <c r="A111" s="41" t="s">
        <v>243</v>
      </c>
      <c r="B111" s="41"/>
      <c r="C111" s="41" t="s">
        <v>244</v>
      </c>
      <c r="D111" s="41">
        <v>57.24</v>
      </c>
      <c r="E111" s="42">
        <v>70.692307692307693</v>
      </c>
      <c r="F111" s="41" t="s">
        <v>32</v>
      </c>
      <c r="G111" s="38">
        <f t="shared" si="1"/>
        <v>13.452307692307691</v>
      </c>
      <c r="H111" s="43">
        <v>0.25121193868355801</v>
      </c>
      <c r="I111" s="43">
        <v>0.70937457849820995</v>
      </c>
      <c r="J111" s="43">
        <v>2</v>
      </c>
      <c r="K111" s="43">
        <v>0.96655220906579198</v>
      </c>
      <c r="L111" s="38">
        <v>3250</v>
      </c>
      <c r="M111" s="38">
        <v>4.0000000000000001E-3</v>
      </c>
      <c r="N111" s="38">
        <v>812500</v>
      </c>
    </row>
    <row r="112" spans="1:14" ht="22.5" customHeight="1">
      <c r="A112" s="41" t="s">
        <v>245</v>
      </c>
      <c r="B112" s="41"/>
      <c r="C112" s="41" t="s">
        <v>246</v>
      </c>
      <c r="D112" s="41">
        <v>167.48</v>
      </c>
      <c r="E112" s="42">
        <v>154.538461538462</v>
      </c>
      <c r="F112" s="41" t="s">
        <v>46</v>
      </c>
      <c r="G112" s="38">
        <f t="shared" si="1"/>
        <v>-12.941538461537988</v>
      </c>
      <c r="H112" s="43">
        <v>0.79119511821942801</v>
      </c>
      <c r="I112" s="43">
        <v>2.1620474613278202</v>
      </c>
      <c r="J112" s="43">
        <v>0.9</v>
      </c>
      <c r="K112" s="43">
        <v>0.92841788303797301</v>
      </c>
      <c r="L112" s="38">
        <v>765.4</v>
      </c>
      <c r="M112" s="38">
        <v>4.0000000000000001E-3</v>
      </c>
      <c r="N112" s="38">
        <v>191350</v>
      </c>
    </row>
    <row r="113" spans="1:14" ht="22.5" customHeight="1">
      <c r="A113" s="41" t="s">
        <v>247</v>
      </c>
      <c r="B113" s="41"/>
      <c r="C113" s="41" t="s">
        <v>248</v>
      </c>
      <c r="D113" s="41">
        <v>88</v>
      </c>
      <c r="E113" s="42">
        <v>92.384615384615401</v>
      </c>
      <c r="F113" s="41" t="s">
        <v>46</v>
      </c>
      <c r="G113" s="38">
        <f t="shared" si="1"/>
        <v>4.384615384615401</v>
      </c>
      <c r="H113" s="43">
        <v>0.60592180017173003</v>
      </c>
      <c r="I113" s="43">
        <v>5.5814749020601298</v>
      </c>
      <c r="J113" s="43">
        <v>0.9</v>
      </c>
      <c r="K113" s="43">
        <v>0.95718475983846696</v>
      </c>
      <c r="L113" s="38">
        <v>2750</v>
      </c>
      <c r="M113" s="38">
        <v>4.0000000000000001E-3</v>
      </c>
      <c r="N113" s="38">
        <v>687500</v>
      </c>
    </row>
    <row r="114" spans="1:14" ht="22.5" customHeight="1">
      <c r="A114" s="41" t="s">
        <v>249</v>
      </c>
      <c r="B114" s="41"/>
      <c r="C114" s="41" t="s">
        <v>250</v>
      </c>
      <c r="D114" s="41">
        <v>121.9</v>
      </c>
      <c r="E114" s="42">
        <v>116.6</v>
      </c>
      <c r="F114" s="41" t="s">
        <v>46</v>
      </c>
      <c r="G114" s="38">
        <f t="shared" si="1"/>
        <v>-5.3000000000000114</v>
      </c>
      <c r="H114" s="43">
        <v>0.76705892807161902</v>
      </c>
      <c r="I114" s="43">
        <v>8.5177586509121994</v>
      </c>
      <c r="J114" s="43">
        <v>0.9</v>
      </c>
      <c r="K114" s="43">
        <v>0.91457490437662703</v>
      </c>
      <c r="L114" s="38">
        <v>1761</v>
      </c>
      <c r="M114" s="38">
        <v>4.0000000000000001E-3</v>
      </c>
      <c r="N114" s="38">
        <v>440250</v>
      </c>
    </row>
    <row r="115" spans="1:14" ht="22.5" customHeight="1">
      <c r="A115" s="41" t="s">
        <v>251</v>
      </c>
      <c r="B115" s="41"/>
      <c r="C115" s="41" t="s">
        <v>252</v>
      </c>
      <c r="D115" s="41">
        <v>139.91999999999999</v>
      </c>
      <c r="E115" s="42">
        <v>138.15384615384599</v>
      </c>
      <c r="F115" s="41" t="s">
        <v>46</v>
      </c>
      <c r="G115" s="38">
        <f t="shared" si="1"/>
        <v>-1.7661538461539976</v>
      </c>
      <c r="H115" s="43">
        <v>0.21126799834694501</v>
      </c>
      <c r="I115" s="43">
        <v>0.37351453100741699</v>
      </c>
      <c r="J115" s="43">
        <v>0.9</v>
      </c>
      <c r="K115" s="43">
        <v>0.96527735827794003</v>
      </c>
      <c r="L115" s="38">
        <v>3393</v>
      </c>
      <c r="M115" s="38">
        <v>4.0000000000000001E-3</v>
      </c>
      <c r="N115" s="38">
        <v>848250</v>
      </c>
    </row>
    <row r="116" spans="1:14" ht="22.5" customHeight="1">
      <c r="A116" s="41" t="s">
        <v>253</v>
      </c>
      <c r="B116" s="41"/>
      <c r="C116" s="41" t="s">
        <v>254</v>
      </c>
      <c r="D116" s="41">
        <v>263</v>
      </c>
      <c r="E116" s="42">
        <v>250.46923076923099</v>
      </c>
      <c r="F116" s="41" t="s">
        <v>46</v>
      </c>
      <c r="G116" s="38">
        <f t="shared" si="1"/>
        <v>-12.53076923076901</v>
      </c>
      <c r="H116" s="43">
        <v>3.6005307301216799E-3</v>
      </c>
      <c r="I116" s="43">
        <v>1.48031998505048</v>
      </c>
      <c r="J116" s="43">
        <v>0.9</v>
      </c>
      <c r="K116" s="43">
        <v>0.98657816004126198</v>
      </c>
      <c r="L116" s="38">
        <v>229.7</v>
      </c>
      <c r="M116" s="38">
        <v>4.0000000000000001E-3</v>
      </c>
      <c r="N116" s="38">
        <v>57425</v>
      </c>
    </row>
    <row r="117" spans="1:14" ht="22.5" customHeight="1">
      <c r="A117" s="41" t="s">
        <v>255</v>
      </c>
      <c r="B117" s="41"/>
      <c r="C117" s="41" t="s">
        <v>256</v>
      </c>
      <c r="D117" s="41">
        <v>225</v>
      </c>
      <c r="E117" s="42">
        <v>215</v>
      </c>
      <c r="F117" s="41" t="s">
        <v>35</v>
      </c>
      <c r="G117" s="38">
        <f t="shared" si="1"/>
        <v>-10</v>
      </c>
      <c r="H117" s="43">
        <v>0.82891839797535505</v>
      </c>
      <c r="I117" s="43">
        <v>2.9175359103606402</v>
      </c>
      <c r="J117" s="43">
        <v>1</v>
      </c>
      <c r="K117" s="43">
        <v>0.92822102723126898</v>
      </c>
      <c r="L117" s="38">
        <v>40</v>
      </c>
      <c r="M117" s="38">
        <v>4.0000000000000001E-3</v>
      </c>
      <c r="N117" s="38">
        <v>10000</v>
      </c>
    </row>
    <row r="118" spans="1:14" ht="22.5" customHeight="1">
      <c r="A118" s="41" t="s">
        <v>257</v>
      </c>
      <c r="B118" s="41"/>
      <c r="C118" s="41" t="s">
        <v>258</v>
      </c>
      <c r="D118" s="41">
        <v>678.4</v>
      </c>
      <c r="E118" s="42">
        <v>698.84615384615404</v>
      </c>
      <c r="F118" s="41" t="s">
        <v>35</v>
      </c>
      <c r="G118" s="38">
        <f t="shared" si="1"/>
        <v>20.446153846154061</v>
      </c>
      <c r="H118" s="43">
        <v>0.54264706522373696</v>
      </c>
      <c r="I118" s="43">
        <v>3.1107427083891999</v>
      </c>
      <c r="J118" s="43">
        <v>1</v>
      </c>
      <c r="K118" s="43">
        <v>0.992872450379779</v>
      </c>
      <c r="L118" s="38">
        <v>560</v>
      </c>
      <c r="M118" s="38">
        <v>4.0000000000000001E-3</v>
      </c>
      <c r="N118" s="38">
        <v>140000</v>
      </c>
    </row>
    <row r="119" spans="1:14" ht="22.5" customHeight="1">
      <c r="A119" s="41" t="s">
        <v>259</v>
      </c>
      <c r="B119" s="41"/>
      <c r="C119" s="41" t="s">
        <v>260</v>
      </c>
      <c r="D119" s="41">
        <v>93.28</v>
      </c>
      <c r="E119" s="42">
        <v>106.269230769231</v>
      </c>
      <c r="F119" s="41" t="s">
        <v>29</v>
      </c>
      <c r="G119" s="38">
        <f t="shared" si="1"/>
        <v>12.989230769231</v>
      </c>
      <c r="H119" s="43">
        <v>0.159360238759262</v>
      </c>
      <c r="I119" s="43">
        <v>6.2546793470626998</v>
      </c>
      <c r="J119" s="43">
        <v>1.5</v>
      </c>
      <c r="K119" s="43">
        <v>0.99532479173182398</v>
      </c>
      <c r="L119" s="38">
        <v>1703.6</v>
      </c>
      <c r="M119" s="38">
        <v>4.0000000000000001E-3</v>
      </c>
      <c r="N119" s="38">
        <v>425900</v>
      </c>
    </row>
    <row r="120" spans="1:14" ht="22.5" customHeight="1">
      <c r="A120" s="41" t="s">
        <v>261</v>
      </c>
      <c r="B120" s="41"/>
      <c r="C120" s="41" t="s">
        <v>262</v>
      </c>
      <c r="D120" s="41">
        <v>139.91999999999999</v>
      </c>
      <c r="E120" s="42">
        <v>138.461538461538</v>
      </c>
      <c r="F120" s="41" t="s">
        <v>46</v>
      </c>
      <c r="G120" s="38">
        <f t="shared" si="1"/>
        <v>-1.4584615384619894</v>
      </c>
      <c r="H120" s="43">
        <v>1.7156348708600201E-2</v>
      </c>
      <c r="I120" s="43">
        <v>2.9191217756971599</v>
      </c>
      <c r="J120" s="43">
        <v>0.9</v>
      </c>
      <c r="K120" s="43">
        <v>0.93848964607199703</v>
      </c>
      <c r="L120" s="38">
        <v>1869</v>
      </c>
      <c r="M120" s="38">
        <v>4.0000000000000001E-3</v>
      </c>
      <c r="N120" s="38">
        <v>467250</v>
      </c>
    </row>
    <row r="121" spans="1:14" ht="22.5" customHeight="1">
      <c r="A121" s="41" t="s">
        <v>263</v>
      </c>
      <c r="B121" s="41"/>
      <c r="C121" s="41" t="s">
        <v>264</v>
      </c>
      <c r="D121" s="41">
        <v>455.8</v>
      </c>
      <c r="E121" s="42">
        <v>426.07692307692298</v>
      </c>
      <c r="F121" s="41" t="s">
        <v>46</v>
      </c>
      <c r="G121" s="38">
        <f t="shared" si="1"/>
        <v>-29.723076923077031</v>
      </c>
      <c r="H121" s="43">
        <v>0.95390958522811298</v>
      </c>
      <c r="I121" s="43">
        <v>9.9853917215012693</v>
      </c>
      <c r="J121" s="43">
        <v>0.9</v>
      </c>
      <c r="K121" s="43">
        <v>0.90387176096541999</v>
      </c>
      <c r="L121" s="38">
        <v>550</v>
      </c>
      <c r="M121" s="38">
        <v>4.0000000000000001E-3</v>
      </c>
      <c r="N121" s="38">
        <v>137500</v>
      </c>
    </row>
    <row r="122" spans="1:14" ht="22.5" customHeight="1">
      <c r="A122" s="41" t="s">
        <v>265</v>
      </c>
      <c r="B122" s="41"/>
      <c r="C122" s="41" t="s">
        <v>266</v>
      </c>
      <c r="D122" s="41">
        <v>88</v>
      </c>
      <c r="E122" s="42">
        <v>106.92307692307701</v>
      </c>
      <c r="F122" s="41" t="s">
        <v>46</v>
      </c>
      <c r="G122" s="38">
        <f t="shared" si="1"/>
        <v>18.923076923077005</v>
      </c>
      <c r="H122" s="43">
        <v>0.50078135892692299</v>
      </c>
      <c r="I122" s="43">
        <v>5.44568634298086</v>
      </c>
      <c r="J122" s="43">
        <v>0.9</v>
      </c>
      <c r="K122" s="43">
        <v>0.94597826032348598</v>
      </c>
      <c r="L122" s="38">
        <v>1117</v>
      </c>
      <c r="M122" s="38">
        <v>4.0000000000000001E-3</v>
      </c>
      <c r="N122" s="38">
        <v>279250</v>
      </c>
    </row>
    <row r="123" spans="1:14" ht="22.5" customHeight="1">
      <c r="A123" s="41" t="s">
        <v>267</v>
      </c>
      <c r="B123" s="41"/>
      <c r="C123" s="41" t="s">
        <v>268</v>
      </c>
      <c r="D123" s="41">
        <v>121.9</v>
      </c>
      <c r="E123" s="42">
        <v>123.653846153846</v>
      </c>
      <c r="F123" s="41" t="s">
        <v>46</v>
      </c>
      <c r="G123" s="38">
        <f t="shared" si="1"/>
        <v>1.7538461538459984</v>
      </c>
      <c r="H123" s="43">
        <v>0.34767107957948201</v>
      </c>
      <c r="I123" s="43">
        <v>2.7490894663473799</v>
      </c>
      <c r="J123" s="43">
        <v>0.9</v>
      </c>
      <c r="K123" s="43">
        <v>0.94381204687751996</v>
      </c>
      <c r="L123" s="38">
        <v>1769.8</v>
      </c>
      <c r="M123" s="38">
        <v>4.0000000000000001E-3</v>
      </c>
      <c r="N123" s="38">
        <v>442450</v>
      </c>
    </row>
    <row r="124" spans="1:14" ht="22.5" customHeight="1">
      <c r="A124" s="41" t="s">
        <v>269</v>
      </c>
      <c r="B124" s="41"/>
      <c r="C124" s="41" t="s">
        <v>270</v>
      </c>
      <c r="D124" s="41">
        <v>848</v>
      </c>
      <c r="E124" s="42">
        <v>819.30769230769204</v>
      </c>
      <c r="F124" s="41" t="s">
        <v>35</v>
      </c>
      <c r="G124" s="38">
        <f t="shared" si="1"/>
        <v>-28.692307692307963</v>
      </c>
      <c r="H124" s="43">
        <v>0.97019317665398797</v>
      </c>
      <c r="I124" s="43">
        <v>3.3657630528701201</v>
      </c>
      <c r="J124" s="43">
        <v>1</v>
      </c>
      <c r="K124" s="43">
        <v>0.93447718130934498</v>
      </c>
      <c r="L124" s="38">
        <v>80</v>
      </c>
      <c r="M124" s="38">
        <v>4.0000000000000001E-3</v>
      </c>
      <c r="N124" s="38">
        <v>20000</v>
      </c>
    </row>
    <row r="125" spans="1:14" ht="22.5" customHeight="1">
      <c r="A125" s="41" t="s">
        <v>271</v>
      </c>
      <c r="B125" s="41"/>
      <c r="C125" s="41" t="s">
        <v>272</v>
      </c>
      <c r="D125" s="41">
        <v>121.9</v>
      </c>
      <c r="E125" s="42">
        <v>119.30769230769199</v>
      </c>
      <c r="F125" s="41" t="s">
        <v>29</v>
      </c>
      <c r="G125" s="38">
        <f t="shared" si="1"/>
        <v>-2.5923076923080117</v>
      </c>
      <c r="H125" s="43">
        <v>0.23897346980901699</v>
      </c>
      <c r="I125" s="43">
        <v>5.4940998665200702</v>
      </c>
      <c r="J125" s="43">
        <v>1.5</v>
      </c>
      <c r="K125" s="43">
        <v>0.91089174819028096</v>
      </c>
      <c r="L125" s="38">
        <v>954.2</v>
      </c>
      <c r="M125" s="38">
        <v>4.0000000000000001E-3</v>
      </c>
      <c r="N125" s="38">
        <v>238550</v>
      </c>
    </row>
    <row r="126" spans="1:14" ht="22.5" customHeight="1">
      <c r="A126" s="41" t="s">
        <v>273</v>
      </c>
      <c r="B126" s="41"/>
      <c r="C126" s="41" t="s">
        <v>274</v>
      </c>
      <c r="D126" s="41">
        <v>201.4</v>
      </c>
      <c r="E126" s="42">
        <v>190.92307692307699</v>
      </c>
      <c r="F126" s="41" t="s">
        <v>35</v>
      </c>
      <c r="G126" s="38">
        <f t="shared" si="1"/>
        <v>-10.476923076923015</v>
      </c>
      <c r="H126" s="43">
        <v>0.69602073559631505</v>
      </c>
      <c r="I126" s="43">
        <v>6.2370621171172003</v>
      </c>
      <c r="J126" s="43">
        <v>1</v>
      </c>
      <c r="K126" s="43">
        <v>0.94516567101666804</v>
      </c>
      <c r="L126" s="38">
        <v>300</v>
      </c>
      <c r="M126" s="38">
        <v>4.0000000000000001E-3</v>
      </c>
      <c r="N126" s="38">
        <v>75000</v>
      </c>
    </row>
    <row r="127" spans="1:14" ht="22.5" customHeight="1">
      <c r="A127" s="41" t="s">
        <v>275</v>
      </c>
      <c r="B127" s="41"/>
      <c r="C127" s="41" t="s">
        <v>276</v>
      </c>
      <c r="D127" s="41">
        <v>175</v>
      </c>
      <c r="E127" s="42">
        <v>166.461538461538</v>
      </c>
      <c r="F127" s="41" t="s">
        <v>35</v>
      </c>
      <c r="G127" s="38">
        <f t="shared" si="1"/>
        <v>-8.538461538462002</v>
      </c>
      <c r="H127" s="43">
        <v>0.97204670512640301</v>
      </c>
      <c r="I127" s="43">
        <v>9.5961127972549303</v>
      </c>
      <c r="J127" s="43">
        <v>1</v>
      </c>
      <c r="K127" s="43">
        <v>0.92655255504892498</v>
      </c>
      <c r="L127" s="38">
        <v>3000</v>
      </c>
      <c r="M127" s="38">
        <v>4.0000000000000001E-3</v>
      </c>
      <c r="N127" s="38">
        <v>750000</v>
      </c>
    </row>
    <row r="128" spans="1:14" ht="22.5" customHeight="1">
      <c r="A128" s="41" t="s">
        <v>277</v>
      </c>
      <c r="B128" s="41"/>
      <c r="C128" s="41" t="s">
        <v>278</v>
      </c>
      <c r="D128" s="41">
        <v>263</v>
      </c>
      <c r="E128" s="42">
        <v>243.30769230769201</v>
      </c>
      <c r="F128" s="41" t="s">
        <v>32</v>
      </c>
      <c r="G128" s="38">
        <f t="shared" si="1"/>
        <v>-19.692307692307992</v>
      </c>
      <c r="H128" s="43">
        <v>0.33902564175952599</v>
      </c>
      <c r="I128" s="43">
        <v>8.0720076397356593</v>
      </c>
      <c r="J128" s="43">
        <v>2</v>
      </c>
      <c r="K128" s="43">
        <v>0.97787884830326999</v>
      </c>
      <c r="L128" s="38">
        <v>200</v>
      </c>
      <c r="M128" s="38">
        <v>4.0000000000000001E-3</v>
      </c>
      <c r="N128" s="38">
        <v>50000</v>
      </c>
    </row>
    <row r="129" spans="1:14" ht="22.5" customHeight="1">
      <c r="A129" s="41" t="s">
        <v>279</v>
      </c>
      <c r="B129" s="41"/>
      <c r="C129" s="41" t="s">
        <v>280</v>
      </c>
      <c r="D129" s="41">
        <v>175</v>
      </c>
      <c r="E129" s="42">
        <v>150.007692307692</v>
      </c>
      <c r="F129" s="41" t="s">
        <v>32</v>
      </c>
      <c r="G129" s="38">
        <f t="shared" si="1"/>
        <v>-24.992307692308003</v>
      </c>
      <c r="H129" s="43">
        <v>0.417105739654345</v>
      </c>
      <c r="I129" s="43">
        <v>1.63992381812143</v>
      </c>
      <c r="J129" s="43">
        <v>2</v>
      </c>
      <c r="K129" s="43">
        <v>0.98700088827597698</v>
      </c>
      <c r="L129" s="38">
        <v>115.1</v>
      </c>
      <c r="M129" s="38">
        <v>4.0000000000000001E-3</v>
      </c>
      <c r="N129" s="38">
        <v>28775</v>
      </c>
    </row>
    <row r="130" spans="1:14" ht="22.5" customHeight="1">
      <c r="A130" s="41" t="s">
        <v>281</v>
      </c>
      <c r="B130" s="41"/>
      <c r="C130" s="41" t="s">
        <v>282</v>
      </c>
      <c r="D130" s="41">
        <v>848</v>
      </c>
      <c r="E130" s="42">
        <v>1232.76923076923</v>
      </c>
      <c r="F130" s="41" t="s">
        <v>32</v>
      </c>
      <c r="G130" s="38">
        <f t="shared" si="1"/>
        <v>384.76923076923003</v>
      </c>
      <c r="H130" s="43">
        <v>0.42328903137266799</v>
      </c>
      <c r="I130" s="43">
        <v>1.1424751175575401</v>
      </c>
      <c r="J130" s="43">
        <v>2</v>
      </c>
      <c r="K130" s="43">
        <v>0.98451455798765597</v>
      </c>
      <c r="L130" s="38">
        <v>14</v>
      </c>
      <c r="M130" s="38">
        <v>4.0000000000000001E-3</v>
      </c>
      <c r="N130" s="38">
        <v>3500</v>
      </c>
    </row>
    <row r="131" spans="1:14" ht="22.5" customHeight="1">
      <c r="A131" s="41" t="s">
        <v>283</v>
      </c>
      <c r="B131" s="41"/>
      <c r="C131" s="41" t="s">
        <v>284</v>
      </c>
      <c r="D131" s="41">
        <v>164.3</v>
      </c>
      <c r="E131" s="42">
        <v>158.769230769231</v>
      </c>
      <c r="F131" s="41" t="s">
        <v>46</v>
      </c>
      <c r="G131" s="38">
        <f t="shared" si="1"/>
        <v>-5.5307692307690104</v>
      </c>
      <c r="H131" s="43">
        <v>0.18866249544018299</v>
      </c>
      <c r="I131" s="43">
        <v>0.55273468775970203</v>
      </c>
      <c r="J131" s="43">
        <v>0.9</v>
      </c>
      <c r="K131" s="43">
        <v>0.95545777961142297</v>
      </c>
      <c r="L131" s="38">
        <v>3414</v>
      </c>
      <c r="M131" s="38">
        <v>4.0000000000000001E-3</v>
      </c>
      <c r="N131" s="38">
        <v>853500</v>
      </c>
    </row>
    <row r="132" spans="1:14" ht="22.5" customHeight="1">
      <c r="A132" s="41" t="s">
        <v>285</v>
      </c>
      <c r="B132" s="41"/>
      <c r="C132" s="41" t="s">
        <v>286</v>
      </c>
      <c r="D132" s="41">
        <v>143.1</v>
      </c>
      <c r="E132" s="42">
        <v>138.92307692307699</v>
      </c>
      <c r="F132" s="41" t="s">
        <v>46</v>
      </c>
      <c r="G132" s="38">
        <f t="shared" si="1"/>
        <v>-4.1769230769230035</v>
      </c>
      <c r="H132" s="43">
        <v>8.0359614331073206E-2</v>
      </c>
      <c r="I132" s="43">
        <v>7.1931162623810199</v>
      </c>
      <c r="J132" s="43">
        <v>0.9</v>
      </c>
      <c r="K132" s="43">
        <v>0.92389177008914902</v>
      </c>
      <c r="L132" s="38">
        <v>1145</v>
      </c>
      <c r="M132" s="38">
        <v>4.0000000000000001E-3</v>
      </c>
      <c r="N132" s="38">
        <v>286250</v>
      </c>
    </row>
    <row r="133" spans="1:14" ht="22.5" customHeight="1">
      <c r="A133" s="41" t="s">
        <v>287</v>
      </c>
      <c r="B133" s="41"/>
      <c r="C133" s="41" t="s">
        <v>288</v>
      </c>
      <c r="D133" s="41">
        <v>139.91999999999999</v>
      </c>
      <c r="E133" s="42">
        <v>142.230769230769</v>
      </c>
      <c r="F133" s="41" t="s">
        <v>46</v>
      </c>
      <c r="G133" s="38">
        <f t="shared" ref="G133:G196" si="2">E133-D133</f>
        <v>2.3107692307690115</v>
      </c>
      <c r="H133" s="43">
        <v>0.22243137620518899</v>
      </c>
      <c r="I133" s="43">
        <v>8.7777000857877905</v>
      </c>
      <c r="J133" s="43">
        <v>0.9</v>
      </c>
      <c r="K133" s="43">
        <v>0.96711483524531205</v>
      </c>
      <c r="L133" s="38">
        <v>3796</v>
      </c>
      <c r="M133" s="38">
        <v>4.0000000000000001E-3</v>
      </c>
      <c r="N133" s="38">
        <v>949000</v>
      </c>
    </row>
    <row r="134" spans="1:14" ht="22.5" customHeight="1">
      <c r="A134" s="41" t="s">
        <v>289</v>
      </c>
      <c r="B134" s="41"/>
      <c r="C134" s="41" t="s">
        <v>290</v>
      </c>
      <c r="D134" s="41">
        <v>263</v>
      </c>
      <c r="E134" s="42">
        <v>264.5</v>
      </c>
      <c r="F134" s="41" t="s">
        <v>35</v>
      </c>
      <c r="G134" s="38">
        <f t="shared" si="2"/>
        <v>1.5</v>
      </c>
      <c r="H134" s="43">
        <v>0.81806020011958103</v>
      </c>
      <c r="I134" s="43">
        <v>6.7465460807052997</v>
      </c>
      <c r="J134" s="43">
        <v>1</v>
      </c>
      <c r="K134" s="43">
        <v>0.97781439110859703</v>
      </c>
      <c r="L134" s="38">
        <v>2080</v>
      </c>
      <c r="M134" s="38">
        <v>4.0000000000000001E-3</v>
      </c>
      <c r="N134" s="38">
        <v>520000</v>
      </c>
    </row>
    <row r="135" spans="1:14" ht="22.5" customHeight="1">
      <c r="A135" s="41" t="s">
        <v>291</v>
      </c>
      <c r="B135" s="41"/>
      <c r="C135" s="41" t="s">
        <v>292</v>
      </c>
      <c r="D135" s="41">
        <v>720.8</v>
      </c>
      <c r="E135" s="42">
        <v>691.84615384615404</v>
      </c>
      <c r="F135" s="41" t="s">
        <v>35</v>
      </c>
      <c r="G135" s="38">
        <f t="shared" si="2"/>
        <v>-28.953846153845916</v>
      </c>
      <c r="H135" s="43">
        <v>0.74178221400797395</v>
      </c>
      <c r="I135" s="43">
        <v>2.3487016569386601</v>
      </c>
      <c r="J135" s="43">
        <v>1</v>
      </c>
      <c r="K135" s="43">
        <v>0.90671879084725404</v>
      </c>
      <c r="L135" s="38">
        <v>120</v>
      </c>
      <c r="M135" s="38">
        <v>4.0000000000000001E-3</v>
      </c>
      <c r="N135" s="38">
        <v>30000</v>
      </c>
    </row>
    <row r="136" spans="1:14" ht="22.5" customHeight="1">
      <c r="A136" s="41" t="s">
        <v>293</v>
      </c>
      <c r="B136" s="41"/>
      <c r="C136" s="41" t="s">
        <v>294</v>
      </c>
      <c r="D136" s="41">
        <v>263</v>
      </c>
      <c r="E136" s="42">
        <v>248.92307692307699</v>
      </c>
      <c r="F136" s="41" t="s">
        <v>46</v>
      </c>
      <c r="G136" s="38">
        <f t="shared" si="2"/>
        <v>-14.076923076923009</v>
      </c>
      <c r="H136" s="43">
        <v>0.35088388306294799</v>
      </c>
      <c r="I136" s="43">
        <v>5.0211670502786099</v>
      </c>
      <c r="J136" s="43">
        <v>0.9</v>
      </c>
      <c r="K136" s="43">
        <v>0.97276834289782299</v>
      </c>
      <c r="L136" s="38">
        <v>1094</v>
      </c>
      <c r="M136" s="38">
        <v>4.0000000000000001E-3</v>
      </c>
      <c r="N136" s="38">
        <v>273500</v>
      </c>
    </row>
    <row r="137" spans="1:14" ht="22.5" customHeight="1">
      <c r="A137" s="41" t="s">
        <v>295</v>
      </c>
      <c r="B137" s="41"/>
      <c r="C137" s="41" t="s">
        <v>296</v>
      </c>
      <c r="D137" s="41">
        <v>238.5</v>
      </c>
      <c r="E137" s="42">
        <v>225.38461538461499</v>
      </c>
      <c r="F137" s="41" t="s">
        <v>46</v>
      </c>
      <c r="G137" s="38">
        <f t="shared" si="2"/>
        <v>-13.115384615385011</v>
      </c>
      <c r="H137" s="43">
        <v>0.85130808536122404</v>
      </c>
      <c r="I137" s="43">
        <v>7.0834908145121203</v>
      </c>
      <c r="J137" s="43">
        <v>0.9</v>
      </c>
      <c r="K137" s="43">
        <v>0.93976496287094002</v>
      </c>
      <c r="L137" s="38">
        <v>1050</v>
      </c>
      <c r="M137" s="38">
        <v>4.0000000000000001E-3</v>
      </c>
      <c r="N137" s="38">
        <v>262500</v>
      </c>
    </row>
    <row r="138" spans="1:14" ht="22.5" customHeight="1">
      <c r="A138" s="41" t="s">
        <v>297</v>
      </c>
      <c r="B138" s="41"/>
      <c r="C138" s="41" t="s">
        <v>298</v>
      </c>
      <c r="D138" s="41">
        <v>763.2</v>
      </c>
      <c r="E138" s="42">
        <v>717.07692307692298</v>
      </c>
      <c r="F138" s="41" t="s">
        <v>35</v>
      </c>
      <c r="G138" s="38">
        <f t="shared" si="2"/>
        <v>-46.123076923077065</v>
      </c>
      <c r="H138" s="43">
        <v>0.53585915099485404</v>
      </c>
      <c r="I138" s="43">
        <v>0.92552922554766104</v>
      </c>
      <c r="J138" s="43">
        <v>1</v>
      </c>
      <c r="K138" s="43">
        <v>0.910523295697236</v>
      </c>
      <c r="L138" s="38">
        <v>165</v>
      </c>
      <c r="M138" s="38">
        <v>4.0000000000000001E-3</v>
      </c>
      <c r="N138" s="38">
        <v>41250</v>
      </c>
    </row>
    <row r="139" spans="1:14" ht="22.5" customHeight="1">
      <c r="A139" s="41" t="s">
        <v>299</v>
      </c>
      <c r="B139" s="41"/>
      <c r="C139" s="41" t="s">
        <v>300</v>
      </c>
      <c r="D139" s="41">
        <v>848</v>
      </c>
      <c r="E139" s="42">
        <v>797.92307692307702</v>
      </c>
      <c r="F139" s="41" t="s">
        <v>35</v>
      </c>
      <c r="G139" s="38">
        <f t="shared" si="2"/>
        <v>-50.076923076922981</v>
      </c>
      <c r="H139" s="43">
        <v>0.72321351740004802</v>
      </c>
      <c r="I139" s="43">
        <v>0.50574911224793495</v>
      </c>
      <c r="J139" s="43">
        <v>1</v>
      </c>
      <c r="K139" s="43">
        <v>0.95887355467050395</v>
      </c>
      <c r="L139" s="38">
        <v>80</v>
      </c>
      <c r="M139" s="38">
        <v>4.0000000000000001E-3</v>
      </c>
      <c r="N139" s="38">
        <v>20000</v>
      </c>
    </row>
    <row r="140" spans="1:14" ht="22.5" customHeight="1">
      <c r="A140" s="41" t="s">
        <v>301</v>
      </c>
      <c r="B140" s="41"/>
      <c r="C140" s="41" t="s">
        <v>302</v>
      </c>
      <c r="D140" s="41">
        <v>175</v>
      </c>
      <c r="E140" s="42">
        <v>175.07692307692301</v>
      </c>
      <c r="F140" s="41" t="s">
        <v>35</v>
      </c>
      <c r="G140" s="38">
        <f t="shared" si="2"/>
        <v>7.6923076923009148E-2</v>
      </c>
      <c r="H140" s="43">
        <v>7.1201364458277601E-3</v>
      </c>
      <c r="I140" s="43">
        <v>5.4352399471071298</v>
      </c>
      <c r="J140" s="43">
        <v>1</v>
      </c>
      <c r="K140" s="43">
        <v>0.97559683013472598</v>
      </c>
      <c r="L140" s="38">
        <v>790</v>
      </c>
      <c r="M140" s="38">
        <v>4.0000000000000001E-3</v>
      </c>
      <c r="N140" s="38">
        <v>197500</v>
      </c>
    </row>
    <row r="141" spans="1:14" ht="22.5" customHeight="1">
      <c r="A141" s="41" t="s">
        <v>303</v>
      </c>
      <c r="B141" s="41"/>
      <c r="C141" s="41" t="s">
        <v>304</v>
      </c>
      <c r="D141" s="41">
        <v>466.4</v>
      </c>
      <c r="E141" s="42">
        <v>430.57692307692298</v>
      </c>
      <c r="F141" s="41" t="s">
        <v>32</v>
      </c>
      <c r="G141" s="38">
        <f t="shared" si="2"/>
        <v>-35.823076923076997</v>
      </c>
      <c r="H141" s="43">
        <v>0.90929729359729805</v>
      </c>
      <c r="I141" s="43">
        <v>7.0823815575016802</v>
      </c>
      <c r="J141" s="43">
        <v>2</v>
      </c>
      <c r="K141" s="43">
        <v>0.94698901362544097</v>
      </c>
      <c r="L141" s="38">
        <v>48</v>
      </c>
      <c r="M141" s="38">
        <v>3.2000000000000002E-3</v>
      </c>
      <c r="N141" s="38">
        <v>15000</v>
      </c>
    </row>
    <row r="142" spans="1:14" ht="22.5" customHeight="1">
      <c r="A142" s="41" t="s">
        <v>305</v>
      </c>
      <c r="B142" s="41"/>
      <c r="C142" s="41" t="s">
        <v>306</v>
      </c>
      <c r="D142" s="41">
        <v>300</v>
      </c>
      <c r="E142" s="42">
        <v>309.69230769230802</v>
      </c>
      <c r="F142" s="41" t="s">
        <v>32</v>
      </c>
      <c r="G142" s="38">
        <f t="shared" si="2"/>
        <v>9.6923076923080203</v>
      </c>
      <c r="H142" s="43">
        <v>7.3411787434021006E-2</v>
      </c>
      <c r="I142" s="43">
        <v>6.6537619339985996</v>
      </c>
      <c r="J142" s="43">
        <v>2</v>
      </c>
      <c r="K142" s="43">
        <v>0.98933243813887695</v>
      </c>
      <c r="L142" s="38">
        <v>740</v>
      </c>
      <c r="M142" s="38">
        <v>4.0000000000000001E-3</v>
      </c>
      <c r="N142" s="38">
        <v>185000</v>
      </c>
    </row>
    <row r="143" spans="1:14" ht="22.5" customHeight="1">
      <c r="A143" s="41" t="s">
        <v>307</v>
      </c>
      <c r="B143" s="41"/>
      <c r="C143" s="41" t="s">
        <v>308</v>
      </c>
      <c r="D143" s="41">
        <v>225</v>
      </c>
      <c r="E143" s="42">
        <v>283.07692307692298</v>
      </c>
      <c r="F143" s="41" t="s">
        <v>32</v>
      </c>
      <c r="G143" s="38">
        <f t="shared" si="2"/>
        <v>58.076923076922981</v>
      </c>
      <c r="H143" s="43">
        <v>0.160230015729216</v>
      </c>
      <c r="I143" s="43">
        <v>1.5064326549667399</v>
      </c>
      <c r="J143" s="43">
        <v>2</v>
      </c>
      <c r="K143" s="43">
        <v>0.914650991743575</v>
      </c>
      <c r="L143" s="38">
        <v>410</v>
      </c>
      <c r="M143" s="38">
        <v>4.0000000000000001E-3</v>
      </c>
      <c r="N143" s="38">
        <v>102500</v>
      </c>
    </row>
    <row r="144" spans="1:14" ht="22.5" customHeight="1">
      <c r="A144" s="41" t="s">
        <v>309</v>
      </c>
      <c r="B144" s="41"/>
      <c r="C144" s="41" t="s">
        <v>310</v>
      </c>
      <c r="D144" s="41">
        <v>424</v>
      </c>
      <c r="E144" s="42">
        <v>517.30769230769204</v>
      </c>
      <c r="F144" s="41" t="s">
        <v>32</v>
      </c>
      <c r="G144" s="38">
        <f t="shared" si="2"/>
        <v>93.307692307692037</v>
      </c>
      <c r="H144" s="43">
        <v>0.59187503696612698</v>
      </c>
      <c r="I144" s="43">
        <v>5.4795016012723403</v>
      </c>
      <c r="J144" s="43">
        <v>2</v>
      </c>
      <c r="K144" s="43">
        <v>0.98772384254545698</v>
      </c>
      <c r="L144" s="38">
        <v>80</v>
      </c>
      <c r="M144" s="38">
        <v>4.0000000000000001E-3</v>
      </c>
      <c r="N144" s="38">
        <v>20000</v>
      </c>
    </row>
    <row r="145" spans="1:14" ht="22.5" customHeight="1">
      <c r="A145" s="41" t="s">
        <v>311</v>
      </c>
      <c r="B145" s="41"/>
      <c r="C145" s="41" t="s">
        <v>312</v>
      </c>
      <c r="D145" s="41">
        <v>678.4</v>
      </c>
      <c r="E145" s="42">
        <v>700.91666666666697</v>
      </c>
      <c r="F145" s="41" t="s">
        <v>32</v>
      </c>
      <c r="G145" s="38">
        <f t="shared" si="2"/>
        <v>22.516666666666993</v>
      </c>
      <c r="H145" s="43">
        <v>0.74284273775724297</v>
      </c>
      <c r="I145" s="43">
        <v>8.0296359700856197</v>
      </c>
      <c r="J145" s="43">
        <v>2</v>
      </c>
      <c r="K145" s="43">
        <v>0.965846407429508</v>
      </c>
      <c r="L145" s="38">
        <v>115</v>
      </c>
      <c r="M145" s="38">
        <v>4.0000000000000001E-3</v>
      </c>
      <c r="N145" s="38">
        <v>28750</v>
      </c>
    </row>
    <row r="146" spans="1:14" ht="22.5" customHeight="1">
      <c r="A146" s="41" t="s">
        <v>313</v>
      </c>
      <c r="B146" s="41"/>
      <c r="C146" s="41" t="s">
        <v>314</v>
      </c>
      <c r="D146" s="41">
        <v>61.5</v>
      </c>
      <c r="E146" s="42">
        <v>86.076923076923094</v>
      </c>
      <c r="F146" s="41" t="s">
        <v>46</v>
      </c>
      <c r="G146" s="38">
        <f t="shared" si="2"/>
        <v>24.576923076923094</v>
      </c>
      <c r="H146" s="43">
        <v>0.58665064252842103</v>
      </c>
      <c r="I146" s="43">
        <v>0.85924459883353099</v>
      </c>
      <c r="J146" s="43">
        <v>0.9</v>
      </c>
      <c r="K146" s="43">
        <v>0.93834450762473798</v>
      </c>
      <c r="L146" s="38">
        <v>1700</v>
      </c>
      <c r="M146" s="38">
        <v>4.0000000000000001E-3</v>
      </c>
      <c r="N146" s="38">
        <v>425000</v>
      </c>
    </row>
    <row r="147" spans="1:14" ht="22.5" customHeight="1">
      <c r="A147" s="41" t="s">
        <v>315</v>
      </c>
      <c r="B147" s="41"/>
      <c r="C147" s="41" t="s">
        <v>316</v>
      </c>
      <c r="D147" s="41">
        <v>129.30000000000001</v>
      </c>
      <c r="E147" s="42">
        <v>158.769230769231</v>
      </c>
      <c r="F147" s="41" t="s">
        <v>32</v>
      </c>
      <c r="G147" s="38">
        <f t="shared" si="2"/>
        <v>29.46923076923099</v>
      </c>
      <c r="H147" s="43">
        <v>0.80201166335657104</v>
      </c>
      <c r="I147" s="43">
        <v>0.27924648216215398</v>
      </c>
      <c r="J147" s="43">
        <v>2</v>
      </c>
      <c r="K147" s="43">
        <v>0.95416599655373402</v>
      </c>
      <c r="L147" s="38">
        <v>1052</v>
      </c>
      <c r="M147" s="38">
        <v>4.0000000000000001E-3</v>
      </c>
      <c r="N147" s="38">
        <v>263000</v>
      </c>
    </row>
    <row r="148" spans="1:14" ht="22.5" customHeight="1">
      <c r="A148" s="41" t="s">
        <v>317</v>
      </c>
      <c r="B148" s="41"/>
      <c r="C148" s="41" t="s">
        <v>318</v>
      </c>
      <c r="D148" s="41">
        <v>848</v>
      </c>
      <c r="E148" s="42">
        <v>817.461538461538</v>
      </c>
      <c r="F148" s="41" t="s">
        <v>35</v>
      </c>
      <c r="G148" s="38">
        <f t="shared" si="2"/>
        <v>-30.538461538462002</v>
      </c>
      <c r="H148" s="43">
        <v>8.4261381426358001E-2</v>
      </c>
      <c r="I148" s="43">
        <v>6.8466384295806098</v>
      </c>
      <c r="J148" s="43">
        <v>1</v>
      </c>
      <c r="K148" s="43">
        <v>0.91901990549889401</v>
      </c>
      <c r="L148" s="38">
        <v>63</v>
      </c>
      <c r="M148" s="38">
        <v>4.0000000000000001E-3</v>
      </c>
      <c r="N148" s="38">
        <v>15750</v>
      </c>
    </row>
    <row r="149" spans="1:14" ht="22.5" customHeight="1">
      <c r="A149" s="41" t="s">
        <v>319</v>
      </c>
      <c r="B149" s="41"/>
      <c r="C149" s="41" t="s">
        <v>320</v>
      </c>
      <c r="D149" s="41">
        <v>720.8</v>
      </c>
      <c r="E149" s="42">
        <v>710.34615384615404</v>
      </c>
      <c r="F149" s="41" t="s">
        <v>35</v>
      </c>
      <c r="G149" s="38">
        <f t="shared" si="2"/>
        <v>-10.453846153845916</v>
      </c>
      <c r="H149" s="43">
        <v>0.86614083938394004</v>
      </c>
      <c r="I149" s="43">
        <v>4.7380354394266897</v>
      </c>
      <c r="J149" s="43">
        <v>1</v>
      </c>
      <c r="K149" s="43">
        <v>0.98188219660349296</v>
      </c>
      <c r="L149" s="38">
        <v>355</v>
      </c>
      <c r="M149" s="38">
        <v>4.0000000000000001E-3</v>
      </c>
      <c r="N149" s="38">
        <v>88750</v>
      </c>
    </row>
    <row r="150" spans="1:14" ht="22.5" customHeight="1">
      <c r="A150" s="41" t="s">
        <v>321</v>
      </c>
      <c r="B150" s="41"/>
      <c r="C150" s="41" t="s">
        <v>322</v>
      </c>
      <c r="D150" s="41">
        <v>720.8</v>
      </c>
      <c r="E150" s="42">
        <v>709.92307692307702</v>
      </c>
      <c r="F150" s="41" t="s">
        <v>32</v>
      </c>
      <c r="G150" s="38">
        <f t="shared" si="2"/>
        <v>-10.876923076922935</v>
      </c>
      <c r="H150" s="43">
        <v>0.64514420429574804</v>
      </c>
      <c r="I150" s="43">
        <v>8.1984917191536208</v>
      </c>
      <c r="J150" s="43">
        <v>2</v>
      </c>
      <c r="K150" s="43">
        <v>0.90654545513103202</v>
      </c>
      <c r="L150" s="38">
        <v>48</v>
      </c>
      <c r="M150" s="38">
        <v>4.0000000000000001E-3</v>
      </c>
      <c r="N150" s="38">
        <v>12000</v>
      </c>
    </row>
    <row r="151" spans="1:14" ht="22.5" customHeight="1">
      <c r="A151" s="41" t="s">
        <v>323</v>
      </c>
      <c r="B151" s="41"/>
      <c r="C151" s="41" t="s">
        <v>324</v>
      </c>
      <c r="D151" s="41">
        <v>97</v>
      </c>
      <c r="E151" s="42">
        <v>105.384615384615</v>
      </c>
      <c r="F151" s="41" t="s">
        <v>46</v>
      </c>
      <c r="G151" s="38">
        <f t="shared" si="2"/>
        <v>8.3846153846150031</v>
      </c>
      <c r="H151" s="43">
        <v>0.501282974047075</v>
      </c>
      <c r="I151" s="43">
        <v>3.8323841629558499</v>
      </c>
      <c r="J151" s="43">
        <v>0.9</v>
      </c>
      <c r="K151" s="43">
        <v>0.98747783717423898</v>
      </c>
      <c r="L151" s="38">
        <v>945</v>
      </c>
      <c r="M151" s="38">
        <v>4.0000000000000001E-3</v>
      </c>
      <c r="N151" s="38">
        <v>236250</v>
      </c>
    </row>
    <row r="152" spans="1:14" ht="22.5" customHeight="1">
      <c r="A152" s="41" t="s">
        <v>325</v>
      </c>
      <c r="B152" s="41"/>
      <c r="C152" s="41" t="s">
        <v>326</v>
      </c>
      <c r="D152" s="41">
        <v>129.30000000000001</v>
      </c>
      <c r="E152" s="42">
        <v>125.230769230769</v>
      </c>
      <c r="F152" s="41" t="s">
        <v>46</v>
      </c>
      <c r="G152" s="38">
        <f t="shared" si="2"/>
        <v>-4.0692307692310123</v>
      </c>
      <c r="H152" s="43">
        <v>0.86624558405825802</v>
      </c>
      <c r="I152" s="43">
        <v>6.8065267541842696</v>
      </c>
      <c r="J152" s="43">
        <v>0.9</v>
      </c>
      <c r="K152" s="43">
        <v>0.97135392902649897</v>
      </c>
      <c r="L152" s="38">
        <v>110</v>
      </c>
      <c r="M152" s="38">
        <v>4.0000000000000001E-3</v>
      </c>
      <c r="N152" s="38">
        <v>27500</v>
      </c>
    </row>
    <row r="153" spans="1:14" ht="22.5" customHeight="1">
      <c r="A153" s="41" t="s">
        <v>327</v>
      </c>
      <c r="B153" s="41"/>
      <c r="C153" s="41" t="s">
        <v>328</v>
      </c>
      <c r="D153" s="41">
        <v>218.36</v>
      </c>
      <c r="E153" s="42">
        <v>203</v>
      </c>
      <c r="F153" s="41" t="s">
        <v>46</v>
      </c>
      <c r="G153" s="38">
        <f t="shared" si="2"/>
        <v>-15.360000000000014</v>
      </c>
      <c r="H153" s="43">
        <v>0.35540189417210799</v>
      </c>
      <c r="I153" s="43">
        <v>8.9101944043518007</v>
      </c>
      <c r="J153" s="43">
        <v>0.9</v>
      </c>
      <c r="K153" s="43">
        <v>0.92335077591605697</v>
      </c>
      <c r="L153" s="38">
        <v>1900</v>
      </c>
      <c r="M153" s="38">
        <v>4.0000000000000001E-3</v>
      </c>
      <c r="N153" s="38">
        <v>475000</v>
      </c>
    </row>
    <row r="154" spans="1:14" ht="22.5" customHeight="1">
      <c r="A154" s="41" t="s">
        <v>329</v>
      </c>
      <c r="B154" s="41"/>
      <c r="C154" s="41" t="s">
        <v>330</v>
      </c>
      <c r="D154" s="41">
        <v>225</v>
      </c>
      <c r="E154" s="42">
        <v>208.230769230769</v>
      </c>
      <c r="F154" s="41" t="s">
        <v>46</v>
      </c>
      <c r="G154" s="38">
        <f t="shared" si="2"/>
        <v>-16.769230769231001</v>
      </c>
      <c r="H154" s="43">
        <v>0.42558302420644001</v>
      </c>
      <c r="I154" s="43">
        <v>7.8138518628193099</v>
      </c>
      <c r="J154" s="43">
        <v>0.9</v>
      </c>
      <c r="K154" s="43">
        <v>0.90389382145227604</v>
      </c>
      <c r="L154" s="38">
        <v>650</v>
      </c>
      <c r="M154" s="38">
        <v>4.0000000000000001E-3</v>
      </c>
      <c r="N154" s="38">
        <v>162500</v>
      </c>
    </row>
    <row r="155" spans="1:14" ht="22.5" customHeight="1">
      <c r="A155" s="41" t="s">
        <v>331</v>
      </c>
      <c r="B155" s="41"/>
      <c r="C155" s="41" t="s">
        <v>332</v>
      </c>
      <c r="D155" s="41">
        <v>424</v>
      </c>
      <c r="E155" s="42">
        <v>425.38461538461502</v>
      </c>
      <c r="F155" s="41" t="s">
        <v>32</v>
      </c>
      <c r="G155" s="38">
        <f t="shared" si="2"/>
        <v>1.3846153846150173</v>
      </c>
      <c r="H155" s="43">
        <v>0.52978529248624096</v>
      </c>
      <c r="I155" s="43">
        <v>1.2060648591613701</v>
      </c>
      <c r="J155" s="43">
        <v>2</v>
      </c>
      <c r="K155" s="43">
        <v>0.94771328723180004</v>
      </c>
      <c r="L155" s="38">
        <v>63</v>
      </c>
      <c r="M155" s="38">
        <v>4.0000000000000001E-3</v>
      </c>
      <c r="N155" s="38">
        <v>15750</v>
      </c>
    </row>
    <row r="156" spans="1:14" ht="22.5" customHeight="1">
      <c r="A156" s="41" t="s">
        <v>333</v>
      </c>
      <c r="B156" s="41"/>
      <c r="C156" s="41" t="s">
        <v>334</v>
      </c>
      <c r="D156" s="41">
        <v>263</v>
      </c>
      <c r="E156" s="42">
        <v>272.92307692307702</v>
      </c>
      <c r="F156" s="41" t="s">
        <v>32</v>
      </c>
      <c r="G156" s="38">
        <f t="shared" si="2"/>
        <v>9.9230769230770193</v>
      </c>
      <c r="H156" s="43">
        <v>0.13990681162622001</v>
      </c>
      <c r="I156" s="43">
        <v>4.3492560054171303</v>
      </c>
      <c r="J156" s="43">
        <v>2</v>
      </c>
      <c r="K156" s="43">
        <v>0.90478078972487896</v>
      </c>
      <c r="L156" s="38">
        <v>419</v>
      </c>
      <c r="M156" s="38">
        <v>4.0000000000000001E-3</v>
      </c>
      <c r="N156" s="38">
        <v>104750</v>
      </c>
    </row>
    <row r="157" spans="1:14" ht="22.5" customHeight="1">
      <c r="A157" s="41" t="s">
        <v>335</v>
      </c>
      <c r="B157" s="41"/>
      <c r="C157" s="41" t="s">
        <v>336</v>
      </c>
      <c r="D157" s="41">
        <v>300</v>
      </c>
      <c r="E157" s="42">
        <v>320.538461538462</v>
      </c>
      <c r="F157" s="41" t="s">
        <v>32</v>
      </c>
      <c r="G157" s="38">
        <f t="shared" si="2"/>
        <v>20.538461538462002</v>
      </c>
      <c r="H157" s="43">
        <v>0.94665030287306595</v>
      </c>
      <c r="I157" s="43">
        <v>7.1121102301715</v>
      </c>
      <c r="J157" s="43">
        <v>2</v>
      </c>
      <c r="K157" s="43">
        <v>0.97744499622005199</v>
      </c>
      <c r="L157" s="38">
        <v>201</v>
      </c>
      <c r="M157" s="38">
        <v>4.0000000000000001E-3</v>
      </c>
      <c r="N157" s="38">
        <v>50250</v>
      </c>
    </row>
    <row r="158" spans="1:14" ht="22.5" customHeight="1">
      <c r="A158" s="41" t="s">
        <v>337</v>
      </c>
      <c r="B158" s="41"/>
      <c r="C158" s="41" t="s">
        <v>338</v>
      </c>
      <c r="D158" s="41">
        <v>225</v>
      </c>
      <c r="E158" s="42">
        <v>227.461538461538</v>
      </c>
      <c r="F158" s="41" t="s">
        <v>32</v>
      </c>
      <c r="G158" s="38">
        <f t="shared" si="2"/>
        <v>2.461538461537998</v>
      </c>
      <c r="H158" s="43">
        <v>0.39033708856748101</v>
      </c>
      <c r="I158" s="43">
        <v>3.9735409846973502</v>
      </c>
      <c r="J158" s="43">
        <v>2</v>
      </c>
      <c r="K158" s="43">
        <v>0.95968225145607</v>
      </c>
      <c r="L158" s="38">
        <v>100</v>
      </c>
      <c r="M158" s="38">
        <v>4.0000000000000001E-3</v>
      </c>
      <c r="N158" s="38">
        <v>25000</v>
      </c>
    </row>
    <row r="159" spans="1:14" ht="22.5" customHeight="1">
      <c r="A159" s="41" t="s">
        <v>339</v>
      </c>
      <c r="B159" s="41"/>
      <c r="C159" s="41" t="s">
        <v>340</v>
      </c>
      <c r="D159" s="41">
        <v>263</v>
      </c>
      <c r="E159" s="42">
        <v>251.61538461538501</v>
      </c>
      <c r="F159" s="41" t="s">
        <v>32</v>
      </c>
      <c r="G159" s="38">
        <f t="shared" si="2"/>
        <v>-11.384615384614989</v>
      </c>
      <c r="H159" s="43">
        <v>0.231066505351402</v>
      </c>
      <c r="I159" s="43">
        <v>0.68008990402508496</v>
      </c>
      <c r="J159" s="43">
        <v>2</v>
      </c>
      <c r="K159" s="43">
        <v>0.93342393059039697</v>
      </c>
      <c r="L159" s="38">
        <v>130</v>
      </c>
      <c r="M159" s="38">
        <v>4.0000000000000001E-3</v>
      </c>
      <c r="N159" s="38">
        <v>32500</v>
      </c>
    </row>
    <row r="160" spans="1:14" ht="22.5" customHeight="1">
      <c r="A160" s="41" t="s">
        <v>341</v>
      </c>
      <c r="B160" s="41"/>
      <c r="C160" s="41" t="s">
        <v>342</v>
      </c>
      <c r="D160" s="41">
        <v>150.52000000000001</v>
      </c>
      <c r="E160" s="42">
        <v>145</v>
      </c>
      <c r="F160" s="41" t="s">
        <v>46</v>
      </c>
      <c r="G160" s="38">
        <f t="shared" si="2"/>
        <v>-5.5200000000000102</v>
      </c>
      <c r="H160" s="43">
        <v>0.22619105241762799</v>
      </c>
      <c r="I160" s="43">
        <v>9.2879905882103593</v>
      </c>
      <c r="J160" s="43">
        <v>0.9</v>
      </c>
      <c r="K160" s="43">
        <v>0.97579433526459003</v>
      </c>
      <c r="L160" s="38">
        <v>200</v>
      </c>
      <c r="M160" s="38">
        <v>4.0000000000000001E-3</v>
      </c>
      <c r="N160" s="38">
        <v>50000</v>
      </c>
    </row>
    <row r="161" spans="1:14" ht="22.5" customHeight="1">
      <c r="A161" s="41" t="s">
        <v>343</v>
      </c>
      <c r="B161" s="41"/>
      <c r="C161" s="41" t="s">
        <v>344</v>
      </c>
      <c r="D161" s="41">
        <v>129.30000000000001</v>
      </c>
      <c r="E161" s="42">
        <v>129.65384615384599</v>
      </c>
      <c r="F161" s="41" t="s">
        <v>46</v>
      </c>
      <c r="G161" s="38">
        <f t="shared" si="2"/>
        <v>0.35384615384597851</v>
      </c>
      <c r="H161" s="43">
        <v>0.49595814506140301</v>
      </c>
      <c r="I161" s="43">
        <v>1.29558644029015E-2</v>
      </c>
      <c r="J161" s="43">
        <v>0.9</v>
      </c>
      <c r="K161" s="43">
        <v>0.91330535211183295</v>
      </c>
      <c r="L161" s="38">
        <v>440</v>
      </c>
      <c r="M161" s="38">
        <v>4.0000000000000001E-3</v>
      </c>
      <c r="N161" s="38">
        <v>110000</v>
      </c>
    </row>
    <row r="162" spans="1:14" ht="22.5" customHeight="1">
      <c r="A162" s="41" t="s">
        <v>345</v>
      </c>
      <c r="B162" s="41"/>
      <c r="C162" s="41" t="s">
        <v>346</v>
      </c>
      <c r="D162" s="41">
        <v>225</v>
      </c>
      <c r="E162" s="42">
        <v>197</v>
      </c>
      <c r="F162" s="41" t="s">
        <v>32</v>
      </c>
      <c r="G162" s="38">
        <f t="shared" si="2"/>
        <v>-28</v>
      </c>
      <c r="H162" s="43">
        <v>0.55574258431647905</v>
      </c>
      <c r="I162" s="43">
        <v>2.1090023879069402</v>
      </c>
      <c r="J162" s="43">
        <v>2</v>
      </c>
      <c r="K162" s="43">
        <v>0.99911153251573404</v>
      </c>
      <c r="L162" s="38">
        <v>112.7</v>
      </c>
      <c r="M162" s="38">
        <v>4.0000000000000001E-3</v>
      </c>
      <c r="N162" s="38">
        <v>28175</v>
      </c>
    </row>
    <row r="163" spans="1:14" ht="22.5" customHeight="1">
      <c r="A163" s="41" t="s">
        <v>347</v>
      </c>
      <c r="B163" s="41"/>
      <c r="C163" s="41" t="s">
        <v>348</v>
      </c>
      <c r="D163" s="41">
        <v>201.4</v>
      </c>
      <c r="E163" s="42">
        <v>202.69230769230799</v>
      </c>
      <c r="F163" s="41" t="s">
        <v>32</v>
      </c>
      <c r="G163" s="38">
        <f t="shared" si="2"/>
        <v>1.2923076923079861</v>
      </c>
      <c r="H163" s="43">
        <v>0.631477985382075</v>
      </c>
      <c r="I163" s="43">
        <v>0.19489504373385999</v>
      </c>
      <c r="J163" s="43">
        <v>2</v>
      </c>
      <c r="K163" s="43">
        <v>0.99726515205791</v>
      </c>
      <c r="L163" s="38">
        <v>5</v>
      </c>
      <c r="M163" s="38">
        <v>4.0000000000000001E-3</v>
      </c>
      <c r="N163" s="38">
        <v>1250</v>
      </c>
    </row>
    <row r="164" spans="1:14" ht="22.5" customHeight="1">
      <c r="A164" s="41" t="s">
        <v>349</v>
      </c>
      <c r="B164" s="41"/>
      <c r="C164" s="41" t="s">
        <v>350</v>
      </c>
      <c r="D164" s="41">
        <v>121.9</v>
      </c>
      <c r="E164" s="42">
        <v>146.230769230769</v>
      </c>
      <c r="F164" s="41" t="s">
        <v>46</v>
      </c>
      <c r="G164" s="38">
        <f t="shared" si="2"/>
        <v>24.330769230768993</v>
      </c>
      <c r="H164" s="43">
        <v>0.54380989209692099</v>
      </c>
      <c r="I164" s="43">
        <v>3.43508532865512</v>
      </c>
      <c r="J164" s="43">
        <v>0.9</v>
      </c>
      <c r="K164" s="43">
        <v>0.90409524537923602</v>
      </c>
      <c r="L164" s="38">
        <v>531</v>
      </c>
      <c r="M164" s="38">
        <v>4.0000000000000001E-3</v>
      </c>
      <c r="N164" s="38">
        <v>132750</v>
      </c>
    </row>
    <row r="165" spans="1:14" ht="22.5" customHeight="1">
      <c r="A165" s="41" t="s">
        <v>351</v>
      </c>
      <c r="B165" s="41"/>
      <c r="C165" s="41" t="s">
        <v>352</v>
      </c>
      <c r="D165" s="41">
        <v>167.48</v>
      </c>
      <c r="E165" s="42">
        <v>163.769230769231</v>
      </c>
      <c r="F165" s="41" t="s">
        <v>46</v>
      </c>
      <c r="G165" s="38">
        <f t="shared" si="2"/>
        <v>-3.7107692307689888</v>
      </c>
      <c r="H165" s="43">
        <v>0.58638339799893702</v>
      </c>
      <c r="I165" s="43">
        <v>3.50353487256222</v>
      </c>
      <c r="J165" s="43">
        <v>0.9</v>
      </c>
      <c r="K165" s="43">
        <v>0.95604337246997295</v>
      </c>
      <c r="L165" s="38">
        <v>430</v>
      </c>
      <c r="M165" s="38">
        <v>4.0000000000000001E-3</v>
      </c>
      <c r="N165" s="38">
        <v>107500</v>
      </c>
    </row>
    <row r="166" spans="1:14" ht="22.5" customHeight="1">
      <c r="A166" s="41" t="s">
        <v>353</v>
      </c>
      <c r="B166" s="41"/>
      <c r="C166" s="41" t="s">
        <v>354</v>
      </c>
      <c r="D166" s="41">
        <v>185.5</v>
      </c>
      <c r="E166" s="42">
        <v>165.38461538461499</v>
      </c>
      <c r="F166" s="41" t="s">
        <v>46</v>
      </c>
      <c r="G166" s="38">
        <f t="shared" si="2"/>
        <v>-20.115384615385011</v>
      </c>
      <c r="H166" s="43">
        <v>9.1308976929956404E-2</v>
      </c>
      <c r="I166" s="43">
        <v>6.7836786753582299</v>
      </c>
      <c r="J166" s="43">
        <v>0.9</v>
      </c>
      <c r="K166" s="43">
        <v>0.95275508014632504</v>
      </c>
      <c r="L166" s="38">
        <v>85</v>
      </c>
      <c r="M166" s="38">
        <v>4.0000000000000001E-3</v>
      </c>
      <c r="N166" s="38">
        <v>21250</v>
      </c>
    </row>
    <row r="167" spans="1:14" ht="22.5" customHeight="1">
      <c r="A167" s="41" t="s">
        <v>355</v>
      </c>
      <c r="B167" s="41"/>
      <c r="C167" s="41" t="s">
        <v>356</v>
      </c>
      <c r="D167" s="41">
        <v>167.48</v>
      </c>
      <c r="E167" s="42">
        <v>149.230769230769</v>
      </c>
      <c r="F167" s="41" t="s">
        <v>46</v>
      </c>
      <c r="G167" s="38">
        <f t="shared" si="2"/>
        <v>-18.249230769230991</v>
      </c>
      <c r="H167" s="43">
        <v>0.38529970087482501</v>
      </c>
      <c r="I167" s="43">
        <v>6.0241174821829002</v>
      </c>
      <c r="J167" s="43">
        <v>0.9</v>
      </c>
      <c r="K167" s="43">
        <v>0.95850615530652805</v>
      </c>
      <c r="L167" s="38">
        <v>750</v>
      </c>
      <c r="M167" s="38">
        <v>4.0000000000000001E-3</v>
      </c>
      <c r="N167" s="38">
        <v>187500</v>
      </c>
    </row>
    <row r="168" spans="1:14" ht="22.5" customHeight="1">
      <c r="A168" s="41" t="s">
        <v>357</v>
      </c>
      <c r="B168" s="41"/>
      <c r="C168" s="41" t="s">
        <v>358</v>
      </c>
      <c r="D168" s="41">
        <v>201.4</v>
      </c>
      <c r="E168" s="42">
        <v>188.92307692307699</v>
      </c>
      <c r="F168" s="41" t="s">
        <v>35</v>
      </c>
      <c r="G168" s="38">
        <f t="shared" si="2"/>
        <v>-12.476923076923015</v>
      </c>
      <c r="H168" s="43">
        <v>0.78888150877915597</v>
      </c>
      <c r="I168" s="43">
        <v>0.15242365940488101</v>
      </c>
      <c r="J168" s="43">
        <v>1</v>
      </c>
      <c r="K168" s="43">
        <v>0.91759523655844299</v>
      </c>
      <c r="L168" s="38">
        <v>352</v>
      </c>
      <c r="M168" s="38">
        <v>4.0000000000000001E-3</v>
      </c>
      <c r="N168" s="38">
        <v>88000</v>
      </c>
    </row>
    <row r="169" spans="1:14" ht="22.5" customHeight="1">
      <c r="A169" s="41" t="s">
        <v>359</v>
      </c>
      <c r="B169" s="41"/>
      <c r="C169" s="41" t="s">
        <v>360</v>
      </c>
      <c r="D169" s="41">
        <v>201.4</v>
      </c>
      <c r="E169" s="42">
        <v>148.769230769231</v>
      </c>
      <c r="F169" s="41" t="s">
        <v>32</v>
      </c>
      <c r="G169" s="38">
        <f t="shared" si="2"/>
        <v>-52.630769230769005</v>
      </c>
      <c r="H169" s="43">
        <v>0.98179886116908599</v>
      </c>
      <c r="I169" s="43">
        <v>1.8261962843558699</v>
      </c>
      <c r="J169" s="43">
        <v>2</v>
      </c>
      <c r="K169" s="43">
        <v>0.93116123591135103</v>
      </c>
      <c r="L169" s="38">
        <v>80.2</v>
      </c>
      <c r="M169" s="38">
        <v>4.0000000000000001E-3</v>
      </c>
      <c r="N169" s="38">
        <v>20050</v>
      </c>
    </row>
    <row r="170" spans="1:14" ht="22.5" customHeight="1">
      <c r="A170" s="41" t="s">
        <v>361</v>
      </c>
      <c r="B170" s="41"/>
      <c r="C170" s="41" t="s">
        <v>362</v>
      </c>
      <c r="D170" s="41">
        <v>129.30000000000001</v>
      </c>
      <c r="E170" s="42">
        <v>122.461538461538</v>
      </c>
      <c r="F170" s="41" t="s">
        <v>46</v>
      </c>
      <c r="G170" s="38">
        <f t="shared" si="2"/>
        <v>-6.8384615384620133</v>
      </c>
      <c r="H170" s="43">
        <v>0.87125017732666299</v>
      </c>
      <c r="I170" s="43">
        <v>5.3719124003306096</v>
      </c>
      <c r="J170" s="43">
        <v>0.9</v>
      </c>
      <c r="K170" s="43">
        <v>0.97115201221842096</v>
      </c>
      <c r="L170" s="38">
        <v>1218.4000000000001</v>
      </c>
      <c r="M170" s="38">
        <v>4.0000000000000001E-3</v>
      </c>
      <c r="N170" s="38">
        <v>304600</v>
      </c>
    </row>
    <row r="171" spans="1:14" ht="22.5" customHeight="1">
      <c r="A171" s="41" t="s">
        <v>363</v>
      </c>
      <c r="B171" s="41"/>
      <c r="C171" s="41" t="s">
        <v>364</v>
      </c>
      <c r="D171" s="41">
        <v>225</v>
      </c>
      <c r="E171" s="42">
        <v>208.15384615384599</v>
      </c>
      <c r="F171" s="41" t="s">
        <v>46</v>
      </c>
      <c r="G171" s="38">
        <f t="shared" si="2"/>
        <v>-16.84615384615401</v>
      </c>
      <c r="H171" s="43">
        <v>0.61458566246327495</v>
      </c>
      <c r="I171" s="43">
        <v>5.2789443774942297</v>
      </c>
      <c r="J171" s="43">
        <v>0.9</v>
      </c>
      <c r="K171" s="43">
        <v>0.98685874290561304</v>
      </c>
      <c r="L171" s="38">
        <v>546.5</v>
      </c>
      <c r="M171" s="38">
        <v>4.0000000000000001E-3</v>
      </c>
      <c r="N171" s="38">
        <v>136625</v>
      </c>
    </row>
    <row r="172" spans="1:14" ht="22.5" customHeight="1">
      <c r="A172" s="41" t="s">
        <v>365</v>
      </c>
      <c r="B172" s="41"/>
      <c r="C172" s="41" t="s">
        <v>366</v>
      </c>
      <c r="D172" s="41">
        <v>339.2</v>
      </c>
      <c r="E172" s="42">
        <v>313.19230769230802</v>
      </c>
      <c r="F172" s="41" t="s">
        <v>46</v>
      </c>
      <c r="G172" s="38">
        <f t="shared" si="2"/>
        <v>-26.007692307691968</v>
      </c>
      <c r="H172" s="43">
        <v>0.165542308112612</v>
      </c>
      <c r="I172" s="43">
        <v>9.3796096317551907</v>
      </c>
      <c r="J172" s="43">
        <v>0.9</v>
      </c>
      <c r="K172" s="43">
        <v>0.90531813476286505</v>
      </c>
      <c r="L172" s="38">
        <v>93</v>
      </c>
      <c r="M172" s="38">
        <v>4.0000000000000001E-3</v>
      </c>
      <c r="N172" s="38">
        <v>23250</v>
      </c>
    </row>
    <row r="173" spans="1:14" ht="22.5" customHeight="1">
      <c r="A173" s="41" t="s">
        <v>367</v>
      </c>
      <c r="B173" s="41"/>
      <c r="C173" s="41" t="s">
        <v>368</v>
      </c>
      <c r="D173" s="41">
        <v>424</v>
      </c>
      <c r="E173" s="42">
        <v>393.769230769231</v>
      </c>
      <c r="F173" s="41" t="s">
        <v>46</v>
      </c>
      <c r="G173" s="38">
        <f t="shared" si="2"/>
        <v>-30.230769230768999</v>
      </c>
      <c r="H173" s="43">
        <v>0.58706663301476103</v>
      </c>
      <c r="I173" s="43">
        <v>1.18624800745543</v>
      </c>
      <c r="J173" s="43">
        <v>0.9</v>
      </c>
      <c r="K173" s="43">
        <v>0.96314611724227805</v>
      </c>
      <c r="L173" s="38">
        <v>87</v>
      </c>
      <c r="M173" s="38">
        <v>4.0000000000000001E-3</v>
      </c>
      <c r="N173" s="38">
        <v>21750</v>
      </c>
    </row>
    <row r="174" spans="1:14" ht="22.5" customHeight="1">
      <c r="A174" s="41" t="s">
        <v>369</v>
      </c>
      <c r="B174" s="41"/>
      <c r="C174" s="41" t="s">
        <v>370</v>
      </c>
      <c r="D174" s="41">
        <v>300</v>
      </c>
      <c r="E174" s="42">
        <v>278.69230769230802</v>
      </c>
      <c r="F174" s="41" t="s">
        <v>32</v>
      </c>
      <c r="G174" s="38">
        <f t="shared" si="2"/>
        <v>-21.30769230769198</v>
      </c>
      <c r="H174" s="43">
        <v>0.42782373864233197</v>
      </c>
      <c r="I174" s="43">
        <v>2.24842755088781</v>
      </c>
      <c r="J174" s="43">
        <v>2</v>
      </c>
      <c r="K174" s="43">
        <v>0.91488683713540098</v>
      </c>
      <c r="L174" s="38">
        <v>57</v>
      </c>
      <c r="M174" s="38">
        <v>4.0000000000000001E-3</v>
      </c>
      <c r="N174" s="38">
        <v>14250</v>
      </c>
    </row>
    <row r="175" spans="1:14" ht="22.5" customHeight="1">
      <c r="A175" s="41" t="s">
        <v>371</v>
      </c>
      <c r="B175" s="41"/>
      <c r="C175" s="41" t="s">
        <v>372</v>
      </c>
      <c r="D175" s="41">
        <v>61.5</v>
      </c>
      <c r="E175" s="42">
        <v>65.307692307692307</v>
      </c>
      <c r="F175" s="41" t="s">
        <v>32</v>
      </c>
      <c r="G175" s="38">
        <f t="shared" si="2"/>
        <v>3.8076923076923066</v>
      </c>
      <c r="H175" s="43">
        <v>9.7266234624901596E-2</v>
      </c>
      <c r="I175" s="43">
        <v>2.1806054911719501</v>
      </c>
      <c r="J175" s="43">
        <v>2</v>
      </c>
      <c r="K175" s="43">
        <v>0.940455145824592</v>
      </c>
      <c r="L175" s="38">
        <v>1200</v>
      </c>
      <c r="M175" s="38">
        <v>4.0000000000000001E-3</v>
      </c>
      <c r="N175" s="38">
        <v>300000</v>
      </c>
    </row>
    <row r="176" spans="1:14" ht="22.5" customHeight="1">
      <c r="A176" s="41" t="s">
        <v>373</v>
      </c>
      <c r="B176" s="41"/>
      <c r="C176" s="41" t="s">
        <v>374</v>
      </c>
      <c r="D176" s="41">
        <v>678.4</v>
      </c>
      <c r="E176" s="42">
        <v>694.23076923076906</v>
      </c>
      <c r="F176" s="41" t="s">
        <v>32</v>
      </c>
      <c r="G176" s="38">
        <f t="shared" si="2"/>
        <v>15.830769230769079</v>
      </c>
      <c r="H176" s="43">
        <v>0.23825124734852601</v>
      </c>
      <c r="I176" s="43">
        <v>9.2122233097566308</v>
      </c>
      <c r="J176" s="43">
        <v>2</v>
      </c>
      <c r="K176" s="43">
        <v>0.99758545800551601</v>
      </c>
      <c r="L176" s="38">
        <v>15</v>
      </c>
      <c r="M176" s="38">
        <v>4.0000000000000001E-3</v>
      </c>
      <c r="N176" s="38">
        <v>3750</v>
      </c>
    </row>
    <row r="177" spans="1:14" ht="22.5" customHeight="1">
      <c r="A177" s="41" t="s">
        <v>375</v>
      </c>
      <c r="B177" s="41"/>
      <c r="C177" s="41" t="s">
        <v>376</v>
      </c>
      <c r="D177" s="41">
        <v>263</v>
      </c>
      <c r="E177" s="42">
        <v>257.15384615384602</v>
      </c>
      <c r="F177" s="41" t="s">
        <v>32</v>
      </c>
      <c r="G177" s="38">
        <f t="shared" si="2"/>
        <v>-5.8461538461539817</v>
      </c>
      <c r="H177" s="43">
        <v>0.67986571351727798</v>
      </c>
      <c r="I177" s="43">
        <v>4.364044054731</v>
      </c>
      <c r="J177" s="43">
        <v>2</v>
      </c>
      <c r="K177" s="43">
        <v>0.939341630744706</v>
      </c>
      <c r="L177" s="38">
        <v>420</v>
      </c>
      <c r="M177" s="38">
        <v>4.0000000000000001E-3</v>
      </c>
      <c r="N177" s="38">
        <v>105000</v>
      </c>
    </row>
    <row r="178" spans="1:14" ht="22.5" customHeight="1">
      <c r="A178" s="41" t="s">
        <v>377</v>
      </c>
      <c r="B178" s="41"/>
      <c r="C178" s="41" t="s">
        <v>378</v>
      </c>
      <c r="D178" s="41">
        <v>720.8</v>
      </c>
      <c r="E178" s="42">
        <v>685.538461538462</v>
      </c>
      <c r="F178" s="41" t="s">
        <v>35</v>
      </c>
      <c r="G178" s="38">
        <f t="shared" si="2"/>
        <v>-35.261538461537953</v>
      </c>
      <c r="H178" s="43">
        <v>9.4934457111986101E-2</v>
      </c>
      <c r="I178" s="43">
        <v>3.21407480594543</v>
      </c>
      <c r="J178" s="43">
        <v>1</v>
      </c>
      <c r="K178" s="43">
        <v>0.97455868105237797</v>
      </c>
      <c r="L178" s="38">
        <v>15.6</v>
      </c>
      <c r="M178" s="38">
        <v>4.0000000000000001E-3</v>
      </c>
      <c r="N178" s="38">
        <v>3900</v>
      </c>
    </row>
    <row r="179" spans="1:14" ht="22.5" customHeight="1">
      <c r="A179" s="41" t="s">
        <v>379</v>
      </c>
      <c r="B179" s="41"/>
      <c r="C179" s="41" t="s">
        <v>380</v>
      </c>
      <c r="D179" s="41">
        <v>93.28</v>
      </c>
      <c r="E179" s="42">
        <v>105.846153846154</v>
      </c>
      <c r="F179" s="41" t="s">
        <v>29</v>
      </c>
      <c r="G179" s="38">
        <f t="shared" si="2"/>
        <v>12.566153846153995</v>
      </c>
      <c r="H179" s="43">
        <v>0.48612443895734803</v>
      </c>
      <c r="I179" s="43">
        <v>8.1601507856380096</v>
      </c>
      <c r="J179" s="43">
        <v>1.5</v>
      </c>
      <c r="K179" s="43">
        <v>0.93878581536421801</v>
      </c>
      <c r="L179" s="38">
        <v>600</v>
      </c>
      <c r="M179" s="38">
        <v>4.0000000000000001E-3</v>
      </c>
      <c r="N179" s="38">
        <v>150000</v>
      </c>
    </row>
    <row r="180" spans="1:14" ht="22.5" customHeight="1">
      <c r="A180" s="41" t="s">
        <v>381</v>
      </c>
      <c r="B180" s="41"/>
      <c r="C180" s="41" t="s">
        <v>382</v>
      </c>
      <c r="D180" s="41">
        <v>201.4</v>
      </c>
      <c r="E180" s="42">
        <v>198.538461538462</v>
      </c>
      <c r="F180" s="41" t="s">
        <v>46</v>
      </c>
      <c r="G180" s="38">
        <f t="shared" si="2"/>
        <v>-2.8615384615380037</v>
      </c>
      <c r="H180" s="43">
        <v>0.52272983981267396</v>
      </c>
      <c r="I180" s="43">
        <v>8.4600995533186296</v>
      </c>
      <c r="J180" s="43">
        <v>0.9</v>
      </c>
      <c r="K180" s="43">
        <v>0.92322984447386902</v>
      </c>
      <c r="L180" s="38">
        <v>3375</v>
      </c>
      <c r="M180" s="38">
        <v>4.0000000000000001E-3</v>
      </c>
      <c r="N180" s="38">
        <v>843750</v>
      </c>
    </row>
    <row r="181" spans="1:14" ht="22.5" customHeight="1">
      <c r="A181" s="41" t="s">
        <v>383</v>
      </c>
      <c r="B181" s="41"/>
      <c r="C181" s="41" t="s">
        <v>384</v>
      </c>
      <c r="D181" s="41">
        <v>678.4</v>
      </c>
      <c r="E181" s="42">
        <v>641.65384615384596</v>
      </c>
      <c r="F181" s="41" t="s">
        <v>35</v>
      </c>
      <c r="G181" s="38">
        <f t="shared" si="2"/>
        <v>-36.746153846154016</v>
      </c>
      <c r="H181" s="43">
        <v>0.44843894727278999</v>
      </c>
      <c r="I181" s="43">
        <v>7.7714024952720404</v>
      </c>
      <c r="J181" s="43">
        <v>1</v>
      </c>
      <c r="K181" s="43">
        <v>0.95529302694510498</v>
      </c>
      <c r="L181" s="38">
        <v>51.7</v>
      </c>
      <c r="M181" s="38">
        <v>4.0000000000000001E-3</v>
      </c>
      <c r="N181" s="38">
        <v>12925</v>
      </c>
    </row>
    <row r="182" spans="1:14" ht="22.5" customHeight="1">
      <c r="A182" s="41" t="s">
        <v>385</v>
      </c>
      <c r="B182" s="41"/>
      <c r="C182" s="41" t="s">
        <v>386</v>
      </c>
      <c r="D182" s="41">
        <v>158</v>
      </c>
      <c r="E182" s="42">
        <v>159.15384615384599</v>
      </c>
      <c r="F182" s="41" t="s">
        <v>46</v>
      </c>
      <c r="G182" s="38">
        <f t="shared" si="2"/>
        <v>1.1538461538459899</v>
      </c>
      <c r="H182" s="43">
        <v>0.41252492346937802</v>
      </c>
      <c r="I182" s="43">
        <v>4.2829042221066196</v>
      </c>
      <c r="J182" s="43">
        <v>0.9</v>
      </c>
      <c r="K182" s="43">
        <v>0.92665843900676803</v>
      </c>
      <c r="L182" s="38">
        <v>1279</v>
      </c>
      <c r="M182" s="38">
        <v>4.0000000000000001E-3</v>
      </c>
      <c r="N182" s="38">
        <v>319750</v>
      </c>
    </row>
    <row r="183" spans="1:14" ht="22.5" customHeight="1">
      <c r="A183" s="41" t="s">
        <v>387</v>
      </c>
      <c r="B183" s="41"/>
      <c r="C183" s="41" t="s">
        <v>388</v>
      </c>
      <c r="D183" s="41">
        <v>114.5</v>
      </c>
      <c r="E183" s="42">
        <v>128.166666666667</v>
      </c>
      <c r="F183" s="41" t="s">
        <v>32</v>
      </c>
      <c r="G183" s="38">
        <f t="shared" si="2"/>
        <v>13.666666666666998</v>
      </c>
      <c r="H183" s="43">
        <v>5.7676694690147502E-2</v>
      </c>
      <c r="I183" s="43">
        <v>7.5494501075634997</v>
      </c>
      <c r="J183" s="43">
        <v>2</v>
      </c>
      <c r="K183" s="43">
        <v>0.99187048511848797</v>
      </c>
      <c r="L183" s="38">
        <v>300</v>
      </c>
      <c r="M183" s="38">
        <v>4.0000000000000001E-3</v>
      </c>
      <c r="N183" s="38">
        <v>75000</v>
      </c>
    </row>
    <row r="184" spans="1:14" ht="22.5" customHeight="1">
      <c r="A184" s="41" t="s">
        <v>389</v>
      </c>
      <c r="B184" s="41"/>
      <c r="C184" s="41" t="s">
        <v>390</v>
      </c>
      <c r="D184" s="41">
        <v>61.5</v>
      </c>
      <c r="E184" s="42">
        <v>79.384615384615401</v>
      </c>
      <c r="F184" s="41" t="s">
        <v>29</v>
      </c>
      <c r="G184" s="38">
        <f t="shared" si="2"/>
        <v>17.884615384615401</v>
      </c>
      <c r="H184" s="43">
        <v>0.13181779031135701</v>
      </c>
      <c r="I184" s="43">
        <v>0.30210020658278702</v>
      </c>
      <c r="J184" s="43">
        <v>1.5</v>
      </c>
      <c r="K184" s="43">
        <v>0.98193428842250097</v>
      </c>
      <c r="L184" s="38">
        <v>2750</v>
      </c>
      <c r="M184" s="38">
        <v>4.0000000000000001E-3</v>
      </c>
      <c r="N184" s="38">
        <v>687500</v>
      </c>
    </row>
    <row r="185" spans="1:14" ht="22.5" customHeight="1">
      <c r="A185" s="41" t="s">
        <v>391</v>
      </c>
      <c r="B185" s="41"/>
      <c r="C185" s="41" t="s">
        <v>392</v>
      </c>
      <c r="D185" s="41">
        <v>206.7</v>
      </c>
      <c r="E185" s="42">
        <v>194</v>
      </c>
      <c r="F185" s="41" t="s">
        <v>46</v>
      </c>
      <c r="G185" s="38">
        <f t="shared" si="2"/>
        <v>-12.699999999999989</v>
      </c>
      <c r="H185" s="43">
        <v>8.4205310384342091E-3</v>
      </c>
      <c r="I185" s="43">
        <v>3.9327291064666499</v>
      </c>
      <c r="J185" s="43">
        <v>0.9</v>
      </c>
      <c r="K185" s="43">
        <v>0.932501169053499</v>
      </c>
      <c r="L185" s="38">
        <v>2646</v>
      </c>
      <c r="M185" s="38">
        <v>4.0000000000000001E-3</v>
      </c>
      <c r="N185" s="38">
        <v>661500</v>
      </c>
    </row>
    <row r="186" spans="1:14" ht="22.5" customHeight="1">
      <c r="A186" s="41" t="s">
        <v>393</v>
      </c>
      <c r="B186" s="41"/>
      <c r="C186" s="41" t="s">
        <v>394</v>
      </c>
      <c r="D186" s="41">
        <v>114.5</v>
      </c>
      <c r="E186" s="42">
        <v>113.384615384615</v>
      </c>
      <c r="F186" s="41" t="s">
        <v>46</v>
      </c>
      <c r="G186" s="38">
        <f t="shared" si="2"/>
        <v>-1.1153846153849969</v>
      </c>
      <c r="H186" s="43">
        <v>0.36892330818216801</v>
      </c>
      <c r="I186" s="43">
        <v>7.3075049381293997</v>
      </c>
      <c r="J186" s="43">
        <v>0.9</v>
      </c>
      <c r="K186" s="43">
        <v>0.983606472883924</v>
      </c>
      <c r="L186" s="38">
        <v>7894</v>
      </c>
      <c r="M186" s="38">
        <v>4.0000000000000001E-3</v>
      </c>
      <c r="N186" s="38">
        <v>1973500</v>
      </c>
    </row>
    <row r="187" spans="1:14" ht="22.5" customHeight="1">
      <c r="A187" s="41" t="s">
        <v>395</v>
      </c>
      <c r="B187" s="41"/>
      <c r="C187" s="41" t="s">
        <v>396</v>
      </c>
      <c r="D187" s="41">
        <v>93.28</v>
      </c>
      <c r="E187" s="42">
        <v>101.846153846154</v>
      </c>
      <c r="F187" s="41" t="s">
        <v>29</v>
      </c>
      <c r="G187" s="38">
        <f t="shared" si="2"/>
        <v>8.5661538461539948</v>
      </c>
      <c r="H187" s="43">
        <v>0.790952870470508</v>
      </c>
      <c r="I187" s="43">
        <v>4.2004186642522798</v>
      </c>
      <c r="J187" s="43">
        <v>1.5</v>
      </c>
      <c r="K187" s="43">
        <v>0.98589654514409097</v>
      </c>
      <c r="L187" s="38">
        <v>1000</v>
      </c>
      <c r="M187" s="38">
        <v>4.0000000000000001E-3</v>
      </c>
      <c r="N187" s="38">
        <v>250000</v>
      </c>
    </row>
    <row r="188" spans="1:14" ht="22.5" customHeight="1">
      <c r="A188" s="41" t="s">
        <v>397</v>
      </c>
      <c r="B188" s="41"/>
      <c r="C188" s="41" t="s">
        <v>398</v>
      </c>
      <c r="D188" s="41">
        <v>720.8</v>
      </c>
      <c r="E188" s="42">
        <v>682.84615384615404</v>
      </c>
      <c r="F188" s="41" t="s">
        <v>35</v>
      </c>
      <c r="G188" s="38">
        <f t="shared" si="2"/>
        <v>-37.953846153845916</v>
      </c>
      <c r="H188" s="43">
        <v>0.401292314334595</v>
      </c>
      <c r="I188" s="43">
        <v>5.2978213271796397</v>
      </c>
      <c r="J188" s="43">
        <v>1</v>
      </c>
      <c r="K188" s="43">
        <v>0.917290407733798</v>
      </c>
      <c r="L188" s="38">
        <v>104</v>
      </c>
      <c r="M188" s="38">
        <v>4.0000000000000001E-3</v>
      </c>
      <c r="N188" s="38">
        <v>26000</v>
      </c>
    </row>
    <row r="189" spans="1:14" ht="22.5" customHeight="1">
      <c r="A189" s="41" t="s">
        <v>399</v>
      </c>
      <c r="B189" s="41"/>
      <c r="C189" s="41" t="s">
        <v>400</v>
      </c>
      <c r="D189" s="41">
        <v>848</v>
      </c>
      <c r="E189" s="42">
        <v>805.30769230769204</v>
      </c>
      <c r="F189" s="41" t="s">
        <v>35</v>
      </c>
      <c r="G189" s="38">
        <f t="shared" si="2"/>
        <v>-42.692307692307963</v>
      </c>
      <c r="H189" s="43">
        <v>0.39074149649865397</v>
      </c>
      <c r="I189" s="43">
        <v>8.1718972449438407</v>
      </c>
      <c r="J189" s="43">
        <v>1</v>
      </c>
      <c r="K189" s="43">
        <v>0.91348391457966205</v>
      </c>
      <c r="L189" s="38">
        <v>80</v>
      </c>
      <c r="M189" s="38">
        <v>4.0000000000000001E-3</v>
      </c>
      <c r="N189" s="38">
        <v>20000</v>
      </c>
    </row>
    <row r="190" spans="1:14" ht="22.5" customHeight="1">
      <c r="A190" s="41" t="s">
        <v>401</v>
      </c>
      <c r="B190" s="41"/>
      <c r="C190" s="41" t="s">
        <v>402</v>
      </c>
      <c r="D190" s="41">
        <v>158</v>
      </c>
      <c r="E190" s="42">
        <v>145.38461538461499</v>
      </c>
      <c r="F190" s="41" t="s">
        <v>46</v>
      </c>
      <c r="G190" s="38">
        <f t="shared" si="2"/>
        <v>-12.615384615385011</v>
      </c>
      <c r="H190" s="43">
        <v>0.26828441827622501</v>
      </c>
      <c r="I190" s="43">
        <v>9.3730381573888799</v>
      </c>
      <c r="J190" s="43">
        <v>0.9</v>
      </c>
      <c r="K190" s="43">
        <v>0.98699753416527902</v>
      </c>
      <c r="L190" s="38">
        <v>3344</v>
      </c>
      <c r="M190" s="38">
        <v>3.2000000000000002E-3</v>
      </c>
      <c r="N190" s="38">
        <v>1045000</v>
      </c>
    </row>
    <row r="191" spans="1:14" ht="22.5" customHeight="1">
      <c r="A191" s="41" t="s">
        <v>403</v>
      </c>
      <c r="B191" s="41"/>
      <c r="C191" s="41" t="s">
        <v>404</v>
      </c>
      <c r="D191" s="41">
        <v>129.30000000000001</v>
      </c>
      <c r="E191" s="42">
        <v>125.846153846154</v>
      </c>
      <c r="F191" s="41" t="s">
        <v>46</v>
      </c>
      <c r="G191" s="38">
        <f t="shared" si="2"/>
        <v>-3.4538461538460155</v>
      </c>
      <c r="H191" s="43">
        <v>0.66505092608560001</v>
      </c>
      <c r="I191" s="43">
        <v>1.0810710605892699</v>
      </c>
      <c r="J191" s="43">
        <v>0.9</v>
      </c>
      <c r="K191" s="43">
        <v>0.91974963317728597</v>
      </c>
      <c r="L191" s="38">
        <v>8375.2999999999993</v>
      </c>
      <c r="M191" s="38">
        <v>4.0000000000000001E-3</v>
      </c>
      <c r="N191" s="38">
        <v>2093825</v>
      </c>
    </row>
    <row r="192" spans="1:14" ht="22.5" customHeight="1">
      <c r="A192" s="41" t="s">
        <v>405</v>
      </c>
      <c r="B192" s="41"/>
      <c r="C192" s="41" t="s">
        <v>406</v>
      </c>
      <c r="D192" s="41">
        <v>129.30000000000001</v>
      </c>
      <c r="E192" s="42">
        <v>117.346153846154</v>
      </c>
      <c r="F192" s="41" t="s">
        <v>35</v>
      </c>
      <c r="G192" s="38">
        <f t="shared" si="2"/>
        <v>-11.953846153846015</v>
      </c>
      <c r="H192" s="43">
        <v>0.31273262012622299</v>
      </c>
      <c r="I192" s="43">
        <v>4.4055553060159003</v>
      </c>
      <c r="J192" s="43">
        <v>1</v>
      </c>
      <c r="K192" s="43">
        <v>0.92348469830369895</v>
      </c>
      <c r="L192" s="38">
        <v>4703</v>
      </c>
      <c r="M192" s="38">
        <v>4.0000000000000001E-3</v>
      </c>
      <c r="N192" s="38">
        <v>1175750</v>
      </c>
    </row>
    <row r="193" spans="1:14" ht="22.5" customHeight="1">
      <c r="A193" s="41" t="s">
        <v>407</v>
      </c>
      <c r="B193" s="41"/>
      <c r="C193" s="41" t="s">
        <v>408</v>
      </c>
      <c r="D193" s="41">
        <v>381.6</v>
      </c>
      <c r="E193" s="42">
        <v>360.769230769231</v>
      </c>
      <c r="F193" s="41" t="s">
        <v>32</v>
      </c>
      <c r="G193" s="38">
        <f t="shared" si="2"/>
        <v>-20.830769230769022</v>
      </c>
      <c r="H193" s="43">
        <v>1.2245799398316701E-2</v>
      </c>
      <c r="I193" s="43">
        <v>2.2792721349767602</v>
      </c>
      <c r="J193" s="43">
        <v>2</v>
      </c>
      <c r="K193" s="43">
        <v>0.95924810351129497</v>
      </c>
      <c r="L193" s="38">
        <v>130</v>
      </c>
      <c r="M193" s="38">
        <v>4.0000000000000001E-3</v>
      </c>
      <c r="N193" s="38">
        <v>32500</v>
      </c>
    </row>
    <row r="194" spans="1:14" ht="22.5" customHeight="1">
      <c r="A194" s="41" t="s">
        <v>409</v>
      </c>
      <c r="B194" s="41"/>
      <c r="C194" s="41" t="s">
        <v>410</v>
      </c>
      <c r="D194" s="41">
        <v>424</v>
      </c>
      <c r="E194" s="42">
        <v>399.461538461538</v>
      </c>
      <c r="F194" s="41" t="s">
        <v>32</v>
      </c>
      <c r="G194" s="38">
        <f t="shared" si="2"/>
        <v>-24.538461538462002</v>
      </c>
      <c r="H194" s="43">
        <v>2.7075281742765501E-3</v>
      </c>
      <c r="I194" s="43">
        <v>3.3002879707558601</v>
      </c>
      <c r="J194" s="43">
        <v>2</v>
      </c>
      <c r="K194" s="43">
        <v>0.99546720430542301</v>
      </c>
      <c r="L194" s="38">
        <v>148</v>
      </c>
      <c r="M194" s="38">
        <v>4.0000000000000001E-3</v>
      </c>
      <c r="N194" s="38">
        <v>37000</v>
      </c>
    </row>
    <row r="195" spans="1:14" ht="22.5" customHeight="1">
      <c r="A195" s="41" t="s">
        <v>411</v>
      </c>
      <c r="B195" s="41"/>
      <c r="C195" s="41" t="s">
        <v>412</v>
      </c>
      <c r="D195" s="41">
        <v>175</v>
      </c>
      <c r="E195" s="42">
        <v>162.230769230769</v>
      </c>
      <c r="F195" s="41" t="s">
        <v>32</v>
      </c>
      <c r="G195" s="38">
        <f t="shared" si="2"/>
        <v>-12.769230769231001</v>
      </c>
      <c r="H195" s="43">
        <v>0.54428417641322702</v>
      </c>
      <c r="I195" s="43">
        <v>9.6919513853268509</v>
      </c>
      <c r="J195" s="43">
        <v>2</v>
      </c>
      <c r="K195" s="43">
        <v>0.94828797243652097</v>
      </c>
      <c r="L195" s="38">
        <v>707</v>
      </c>
      <c r="M195" s="38">
        <v>4.0000000000000001E-3</v>
      </c>
      <c r="N195" s="38">
        <v>176750</v>
      </c>
    </row>
    <row r="196" spans="1:14" ht="22.5" customHeight="1">
      <c r="A196" s="41" t="s">
        <v>413</v>
      </c>
      <c r="B196" s="41"/>
      <c r="C196" s="41" t="s">
        <v>414</v>
      </c>
      <c r="D196" s="41">
        <v>466.4</v>
      </c>
      <c r="E196" s="42">
        <v>441.769230769231</v>
      </c>
      <c r="F196" s="41" t="s">
        <v>32</v>
      </c>
      <c r="G196" s="38">
        <f t="shared" si="2"/>
        <v>-24.630769230768976</v>
      </c>
      <c r="H196" s="43">
        <v>0.43367822917403998</v>
      </c>
      <c r="I196" s="43">
        <v>2.3093164635546901</v>
      </c>
      <c r="J196" s="43">
        <v>2</v>
      </c>
      <c r="K196" s="43">
        <v>0.93792023229966603</v>
      </c>
      <c r="L196" s="38">
        <v>188.33600000000001</v>
      </c>
      <c r="M196" s="38">
        <v>3.2000000000000002E-3</v>
      </c>
      <c r="N196" s="38">
        <v>58855</v>
      </c>
    </row>
    <row r="197" spans="1:14" ht="22.5" customHeight="1">
      <c r="A197" s="41" t="s">
        <v>415</v>
      </c>
      <c r="B197" s="41"/>
      <c r="C197" s="41" t="s">
        <v>416</v>
      </c>
      <c r="D197" s="41">
        <v>424</v>
      </c>
      <c r="E197" s="42">
        <v>409.730769230769</v>
      </c>
      <c r="F197" s="41" t="s">
        <v>32</v>
      </c>
      <c r="G197" s="38">
        <f t="shared" ref="G197:G218" si="3">E197-D197</f>
        <v>-14.269230769231001</v>
      </c>
      <c r="H197" s="43">
        <v>2.63776158688083E-2</v>
      </c>
      <c r="I197" s="43">
        <v>1.72061092629499</v>
      </c>
      <c r="J197" s="43">
        <v>2</v>
      </c>
      <c r="K197" s="43">
        <v>0.90855449377711095</v>
      </c>
      <c r="L197" s="38">
        <v>72</v>
      </c>
      <c r="M197" s="38">
        <v>4.0000000000000001E-3</v>
      </c>
      <c r="N197" s="38">
        <v>18000</v>
      </c>
    </row>
    <row r="198" spans="1:14" ht="22.5" customHeight="1">
      <c r="A198" s="41" t="s">
        <v>417</v>
      </c>
      <c r="B198" s="41"/>
      <c r="C198" s="41" t="s">
        <v>418</v>
      </c>
      <c r="D198" s="41">
        <v>300</v>
      </c>
      <c r="E198" s="42">
        <v>328.41666666666703</v>
      </c>
      <c r="F198" s="41" t="s">
        <v>32</v>
      </c>
      <c r="G198" s="38">
        <f t="shared" si="3"/>
        <v>28.416666666667027</v>
      </c>
      <c r="H198" s="43">
        <v>0.73523957851872002</v>
      </c>
      <c r="I198" s="43">
        <v>3.2257884266664099</v>
      </c>
      <c r="J198" s="43">
        <v>2</v>
      </c>
      <c r="K198" s="43">
        <v>0.98802593062547295</v>
      </c>
      <c r="L198" s="38">
        <v>90</v>
      </c>
      <c r="M198" s="38">
        <v>4.0000000000000001E-3</v>
      </c>
      <c r="N198" s="38">
        <v>22500</v>
      </c>
    </row>
    <row r="199" spans="1:14" ht="22.5" customHeight="1">
      <c r="A199" s="41" t="s">
        <v>419</v>
      </c>
      <c r="B199" s="41"/>
      <c r="C199" s="41" t="s">
        <v>420</v>
      </c>
      <c r="D199" s="41">
        <v>275.60000000000002</v>
      </c>
      <c r="E199" s="42">
        <v>284.38461538461502</v>
      </c>
      <c r="F199" s="41" t="s">
        <v>32</v>
      </c>
      <c r="G199" s="38">
        <f t="shared" si="3"/>
        <v>8.7846153846149946</v>
      </c>
      <c r="H199" s="43">
        <v>0.33348418933726098</v>
      </c>
      <c r="I199" s="43">
        <v>9.4716658268208693</v>
      </c>
      <c r="J199" s="43">
        <v>2</v>
      </c>
      <c r="K199" s="43">
        <v>0.98946303954702997</v>
      </c>
      <c r="L199" s="38">
        <v>240</v>
      </c>
      <c r="M199" s="38">
        <v>4.0000000000000001E-3</v>
      </c>
      <c r="N199" s="38">
        <v>60000</v>
      </c>
    </row>
    <row r="200" spans="1:14" ht="22.5" customHeight="1">
      <c r="A200" s="41" t="s">
        <v>421</v>
      </c>
      <c r="B200" s="41"/>
      <c r="C200" s="41" t="s">
        <v>422</v>
      </c>
      <c r="D200" s="41">
        <v>80</v>
      </c>
      <c r="E200" s="42">
        <v>94.884615384615401</v>
      </c>
      <c r="F200" s="41" t="s">
        <v>29</v>
      </c>
      <c r="G200" s="38">
        <f t="shared" si="3"/>
        <v>14.884615384615401</v>
      </c>
      <c r="H200" s="43">
        <v>0.19387168791614001</v>
      </c>
      <c r="I200" s="43">
        <v>1.8118361534765199</v>
      </c>
      <c r="J200" s="43">
        <v>1.5</v>
      </c>
      <c r="K200" s="43">
        <v>0.91443818711239799</v>
      </c>
      <c r="L200" s="38">
        <v>13238</v>
      </c>
      <c r="M200" s="38">
        <v>4.0000000000000001E-3</v>
      </c>
      <c r="N200" s="38">
        <v>3309500</v>
      </c>
    </row>
    <row r="201" spans="1:14" ht="22.5" customHeight="1">
      <c r="A201" s="41" t="s">
        <v>423</v>
      </c>
      <c r="B201" s="41"/>
      <c r="C201" s="41" t="s">
        <v>424</v>
      </c>
      <c r="D201" s="41">
        <v>75</v>
      </c>
      <c r="E201" s="42">
        <v>90.230769230769198</v>
      </c>
      <c r="F201" s="41" t="s">
        <v>32</v>
      </c>
      <c r="G201" s="38">
        <f t="shared" si="3"/>
        <v>15.230769230769198</v>
      </c>
      <c r="H201" s="43">
        <v>0.231326763934524</v>
      </c>
      <c r="I201" s="43">
        <v>8.9683154529207005</v>
      </c>
      <c r="J201" s="43">
        <v>2</v>
      </c>
      <c r="K201" s="43">
        <v>0.94726316362502905</v>
      </c>
      <c r="L201" s="38">
        <v>1915</v>
      </c>
      <c r="M201" s="38">
        <v>4.0000000000000001E-3</v>
      </c>
      <c r="N201" s="38">
        <v>478750</v>
      </c>
    </row>
    <row r="202" spans="1:14" ht="22.5" customHeight="1">
      <c r="A202" s="41" t="s">
        <v>425</v>
      </c>
      <c r="B202" s="41"/>
      <c r="C202" s="41" t="s">
        <v>426</v>
      </c>
      <c r="D202" s="41">
        <v>97</v>
      </c>
      <c r="E202" s="42">
        <v>102.69230769230801</v>
      </c>
      <c r="F202" s="41" t="s">
        <v>46</v>
      </c>
      <c r="G202" s="38">
        <f t="shared" si="3"/>
        <v>5.692307692308006</v>
      </c>
      <c r="H202" s="43">
        <v>0.39498508486404499</v>
      </c>
      <c r="I202" s="43">
        <v>0.61833131430249799</v>
      </c>
      <c r="J202" s="43">
        <v>0.9</v>
      </c>
      <c r="K202" s="43">
        <v>0.96501436815557795</v>
      </c>
      <c r="L202" s="38">
        <v>3580</v>
      </c>
      <c r="M202" s="38">
        <v>4.0000000000000001E-3</v>
      </c>
      <c r="N202" s="38">
        <v>895000</v>
      </c>
    </row>
    <row r="203" spans="1:14" ht="22.5" customHeight="1">
      <c r="A203" s="41" t="s">
        <v>427</v>
      </c>
      <c r="B203" s="41"/>
      <c r="C203" s="41" t="s">
        <v>428</v>
      </c>
      <c r="D203" s="41">
        <v>155</v>
      </c>
      <c r="E203" s="42">
        <v>138.57692307692301</v>
      </c>
      <c r="F203" s="41" t="s">
        <v>32</v>
      </c>
      <c r="G203" s="38">
        <f t="shared" si="3"/>
        <v>-16.423076923076991</v>
      </c>
      <c r="H203" s="43">
        <v>0.15233643143823999</v>
      </c>
      <c r="I203" s="43">
        <v>3.1199627358539401</v>
      </c>
      <c r="J203" s="43">
        <v>2</v>
      </c>
      <c r="K203" s="43">
        <v>0.96488526216234705</v>
      </c>
      <c r="L203" s="38">
        <v>250</v>
      </c>
      <c r="M203" s="38">
        <v>4.0000000000000001E-3</v>
      </c>
      <c r="N203" s="38">
        <v>62500</v>
      </c>
    </row>
    <row r="204" spans="1:14" ht="22.5" customHeight="1">
      <c r="A204" s="41" t="s">
        <v>429</v>
      </c>
      <c r="B204" s="41"/>
      <c r="C204" s="41" t="s">
        <v>430</v>
      </c>
      <c r="D204" s="41">
        <v>199.28</v>
      </c>
      <c r="E204" s="42">
        <v>180</v>
      </c>
      <c r="F204" s="41" t="s">
        <v>46</v>
      </c>
      <c r="G204" s="38">
        <f t="shared" si="3"/>
        <v>-19.28</v>
      </c>
      <c r="H204" s="43">
        <v>2.7878826495334501E-2</v>
      </c>
      <c r="I204" s="43">
        <v>3.7024162925142101</v>
      </c>
      <c r="J204" s="43">
        <v>0.9</v>
      </c>
      <c r="K204" s="43">
        <v>0.95595205528985605</v>
      </c>
      <c r="L204" s="38">
        <v>748</v>
      </c>
      <c r="M204" s="38">
        <v>4.0000000000000001E-3</v>
      </c>
      <c r="N204" s="38">
        <v>187000</v>
      </c>
    </row>
    <row r="205" spans="1:14" ht="22.5" customHeight="1">
      <c r="A205" s="41" t="s">
        <v>431</v>
      </c>
      <c r="B205" s="41"/>
      <c r="C205" s="41" t="s">
        <v>432</v>
      </c>
      <c r="D205" s="41">
        <v>201.4</v>
      </c>
      <c r="E205" s="42">
        <v>187.92307692307699</v>
      </c>
      <c r="F205" s="41" t="s">
        <v>46</v>
      </c>
      <c r="G205" s="38">
        <f t="shared" si="3"/>
        <v>-13.476923076923015</v>
      </c>
      <c r="H205" s="43">
        <v>0.366425160345416</v>
      </c>
      <c r="I205" s="43">
        <v>6.4225900008593602</v>
      </c>
      <c r="J205" s="43">
        <v>0.9</v>
      </c>
      <c r="K205" s="43">
        <v>0.95037649261049995</v>
      </c>
      <c r="L205" s="38">
        <v>16554.599999999999</v>
      </c>
      <c r="M205" s="38">
        <v>4.0000000000000001E-3</v>
      </c>
      <c r="N205" s="38">
        <v>4138650</v>
      </c>
    </row>
    <row r="206" spans="1:14" ht="22.5" customHeight="1">
      <c r="A206" s="41" t="s">
        <v>433</v>
      </c>
      <c r="B206" s="41"/>
      <c r="C206" s="41" t="s">
        <v>434</v>
      </c>
      <c r="D206" s="41">
        <v>225</v>
      </c>
      <c r="E206" s="42">
        <v>201.88461538461499</v>
      </c>
      <c r="F206" s="41" t="s">
        <v>46</v>
      </c>
      <c r="G206" s="38">
        <f t="shared" si="3"/>
        <v>-23.115384615385011</v>
      </c>
      <c r="H206" s="43">
        <v>6.1856424832518603E-2</v>
      </c>
      <c r="I206" s="43">
        <v>7.3448328020895799</v>
      </c>
      <c r="J206" s="43">
        <v>0.9</v>
      </c>
      <c r="K206" s="43">
        <v>0.98976959607905401</v>
      </c>
      <c r="L206" s="38">
        <v>995</v>
      </c>
      <c r="M206" s="38">
        <v>4.0000000000000001E-3</v>
      </c>
      <c r="N206" s="38">
        <v>248750</v>
      </c>
    </row>
    <row r="207" spans="1:14" ht="22.5" customHeight="1">
      <c r="A207" s="41" t="s">
        <v>435</v>
      </c>
      <c r="B207" s="41"/>
      <c r="C207" s="41" t="s">
        <v>436</v>
      </c>
      <c r="D207" s="41">
        <v>225</v>
      </c>
      <c r="E207" s="42">
        <v>209.15384615384599</v>
      </c>
      <c r="F207" s="41" t="s">
        <v>35</v>
      </c>
      <c r="G207" s="38">
        <f t="shared" si="3"/>
        <v>-15.84615384615401</v>
      </c>
      <c r="H207" s="43">
        <v>0.98552332144247801</v>
      </c>
      <c r="I207" s="43">
        <v>1.90515436331236</v>
      </c>
      <c r="J207" s="43">
        <v>1</v>
      </c>
      <c r="K207" s="43">
        <v>0.91880140613967198</v>
      </c>
      <c r="L207" s="38">
        <v>817.5</v>
      </c>
      <c r="M207" s="38">
        <v>4.0000000000000001E-3</v>
      </c>
      <c r="N207" s="38">
        <v>204375</v>
      </c>
    </row>
    <row r="208" spans="1:14" ht="22.5" customHeight="1">
      <c r="A208" s="41" t="s">
        <v>437</v>
      </c>
      <c r="B208" s="41"/>
      <c r="C208" s="41" t="s">
        <v>438</v>
      </c>
      <c r="D208" s="41">
        <v>263</v>
      </c>
      <c r="E208" s="42">
        <v>237.69230769230799</v>
      </c>
      <c r="F208" s="41" t="s">
        <v>32</v>
      </c>
      <c r="G208" s="38">
        <f t="shared" si="3"/>
        <v>-25.307692307692008</v>
      </c>
      <c r="H208" s="43">
        <v>0.75123060249664098</v>
      </c>
      <c r="I208" s="43">
        <v>4.1659242914372401</v>
      </c>
      <c r="J208" s="43">
        <v>2</v>
      </c>
      <c r="K208" s="43">
        <v>0.99411871421255205</v>
      </c>
      <c r="L208" s="38">
        <v>167</v>
      </c>
      <c r="M208" s="38">
        <v>4.0000000000000001E-3</v>
      </c>
      <c r="N208" s="38">
        <v>41750</v>
      </c>
    </row>
    <row r="209" spans="1:14" ht="22.5" customHeight="1">
      <c r="A209" s="41" t="s">
        <v>439</v>
      </c>
      <c r="B209" s="41"/>
      <c r="C209" s="41" t="s">
        <v>440</v>
      </c>
      <c r="D209" s="41">
        <v>225</v>
      </c>
      <c r="E209" s="42">
        <v>275.30769230769198</v>
      </c>
      <c r="F209" s="41" t="s">
        <v>32</v>
      </c>
      <c r="G209" s="38">
        <f t="shared" si="3"/>
        <v>50.30769230769198</v>
      </c>
      <c r="H209" s="43">
        <v>0.33661430804397202</v>
      </c>
      <c r="I209" s="43">
        <v>8.9660149693536599</v>
      </c>
      <c r="J209" s="43">
        <v>2</v>
      </c>
      <c r="K209" s="43">
        <v>0.91257044527628906</v>
      </c>
      <c r="L209" s="38">
        <v>300</v>
      </c>
      <c r="M209" s="38">
        <v>4.0000000000000001E-3</v>
      </c>
      <c r="N209" s="38">
        <v>75000</v>
      </c>
    </row>
    <row r="210" spans="1:14" ht="22.5" customHeight="1">
      <c r="A210" s="41" t="s">
        <v>441</v>
      </c>
      <c r="B210" s="41"/>
      <c r="C210" s="41" t="s">
        <v>442</v>
      </c>
      <c r="D210" s="41">
        <v>84.8</v>
      </c>
      <c r="E210" s="42">
        <v>97.692307692307693</v>
      </c>
      <c r="F210" s="41" t="s">
        <v>29</v>
      </c>
      <c r="G210" s="38">
        <f t="shared" si="3"/>
        <v>12.892307692307696</v>
      </c>
      <c r="H210" s="43">
        <v>0.91651921782103296</v>
      </c>
      <c r="I210" s="43">
        <v>2.6906950944389099</v>
      </c>
      <c r="J210" s="43">
        <v>1.5</v>
      </c>
      <c r="K210" s="43">
        <v>0.94531466282663801</v>
      </c>
      <c r="L210" s="38">
        <v>4733.5</v>
      </c>
      <c r="M210" s="38">
        <v>4.0000000000000001E-3</v>
      </c>
      <c r="N210" s="38">
        <v>1183375</v>
      </c>
    </row>
    <row r="211" spans="1:14" ht="22.5" customHeight="1">
      <c r="A211" s="41" t="s">
        <v>443</v>
      </c>
      <c r="B211" s="41"/>
      <c r="C211" s="41" t="s">
        <v>444</v>
      </c>
      <c r="D211" s="41">
        <v>139.91999999999999</v>
      </c>
      <c r="E211" s="42">
        <v>140</v>
      </c>
      <c r="F211" s="41" t="s">
        <v>46</v>
      </c>
      <c r="G211" s="38">
        <f t="shared" si="3"/>
        <v>8.0000000000012506E-2</v>
      </c>
      <c r="H211" s="43">
        <v>0.36027762098654298</v>
      </c>
      <c r="I211" s="43">
        <v>1.54241794892788</v>
      </c>
      <c r="J211" s="43">
        <v>0.9</v>
      </c>
      <c r="K211" s="43">
        <v>0.95551605019309105</v>
      </c>
      <c r="L211" s="38">
        <v>700.5</v>
      </c>
      <c r="M211" s="38">
        <v>4.0000000000000001E-3</v>
      </c>
      <c r="N211" s="38">
        <v>175125</v>
      </c>
    </row>
    <row r="212" spans="1:14" ht="22.5" customHeight="1">
      <c r="A212" s="41" t="s">
        <v>445</v>
      </c>
      <c r="B212" s="41"/>
      <c r="C212" s="41" t="s">
        <v>446</v>
      </c>
      <c r="D212" s="41">
        <v>175</v>
      </c>
      <c r="E212" s="42">
        <v>147.230769230769</v>
      </c>
      <c r="F212" s="41" t="s">
        <v>35</v>
      </c>
      <c r="G212" s="38">
        <f t="shared" si="3"/>
        <v>-27.769230769231001</v>
      </c>
      <c r="H212" s="43">
        <v>0.97938496313128398</v>
      </c>
      <c r="I212" s="43">
        <v>7.1905888027347196</v>
      </c>
      <c r="J212" s="43">
        <v>1</v>
      </c>
      <c r="K212" s="43">
        <v>0.91648713431511497</v>
      </c>
      <c r="L212" s="38">
        <v>79</v>
      </c>
      <c r="M212" s="38">
        <v>4.0000000000000001E-3</v>
      </c>
      <c r="N212" s="38">
        <v>19750</v>
      </c>
    </row>
    <row r="213" spans="1:14" ht="22.5" customHeight="1">
      <c r="A213" s="41" t="s">
        <v>447</v>
      </c>
      <c r="B213" s="41"/>
      <c r="C213" s="41" t="s">
        <v>448</v>
      </c>
      <c r="D213" s="41">
        <v>65.72</v>
      </c>
      <c r="E213" s="42">
        <v>84.538461538461505</v>
      </c>
      <c r="F213" s="41" t="s">
        <v>46</v>
      </c>
      <c r="G213" s="38">
        <f t="shared" si="3"/>
        <v>18.818461538461506</v>
      </c>
      <c r="H213" s="43">
        <v>0.81717889003726596</v>
      </c>
      <c r="I213" s="43">
        <v>5.3875554345412402</v>
      </c>
      <c r="J213" s="43">
        <v>0.9</v>
      </c>
      <c r="K213" s="43">
        <v>0.94657526089967903</v>
      </c>
      <c r="L213" s="38">
        <v>835</v>
      </c>
      <c r="M213" s="38">
        <v>4.0000000000000001E-3</v>
      </c>
      <c r="N213" s="38">
        <v>208750</v>
      </c>
    </row>
    <row r="214" spans="1:14" ht="22.5" customHeight="1">
      <c r="A214" s="41" t="s">
        <v>449</v>
      </c>
      <c r="B214" s="41"/>
      <c r="C214" s="41" t="s">
        <v>450</v>
      </c>
      <c r="D214" s="41">
        <v>155</v>
      </c>
      <c r="E214" s="42">
        <v>158.230769230769</v>
      </c>
      <c r="F214" s="41" t="s">
        <v>46</v>
      </c>
      <c r="G214" s="38">
        <f t="shared" si="3"/>
        <v>3.230769230768999</v>
      </c>
      <c r="H214" s="43">
        <v>0.63399822981450504</v>
      </c>
      <c r="I214" s="43">
        <v>9.3969953690077794</v>
      </c>
      <c r="J214" s="43">
        <v>0.9</v>
      </c>
      <c r="K214" s="43">
        <v>0.978132919544906</v>
      </c>
      <c r="L214" s="38">
        <v>530</v>
      </c>
      <c r="M214" s="38">
        <v>4.0000000000000001E-3</v>
      </c>
      <c r="N214" s="38">
        <v>132500</v>
      </c>
    </row>
    <row r="215" spans="1:14" ht="22.5" customHeight="1">
      <c r="A215" s="41" t="s">
        <v>451</v>
      </c>
      <c r="B215" s="41"/>
      <c r="C215" s="41" t="s">
        <v>452</v>
      </c>
      <c r="D215" s="41">
        <v>93.28</v>
      </c>
      <c r="E215" s="42">
        <v>100.07692307692299</v>
      </c>
      <c r="F215" s="41" t="s">
        <v>46</v>
      </c>
      <c r="G215" s="38">
        <f t="shared" si="3"/>
        <v>6.7969230769229938</v>
      </c>
      <c r="H215" s="43">
        <v>0.94493162711183598</v>
      </c>
      <c r="I215" s="43">
        <v>1.2175011124331201</v>
      </c>
      <c r="J215" s="43">
        <v>0.9</v>
      </c>
      <c r="K215" s="43">
        <v>0.90144080855517295</v>
      </c>
      <c r="L215" s="38">
        <v>208.2</v>
      </c>
      <c r="M215" s="38">
        <v>4.0000000000000001E-3</v>
      </c>
      <c r="N215" s="38">
        <v>52050</v>
      </c>
    </row>
    <row r="216" spans="1:14" ht="22.5" customHeight="1">
      <c r="A216" s="41" t="s">
        <v>453</v>
      </c>
      <c r="B216" s="41"/>
      <c r="C216" s="41" t="s">
        <v>454</v>
      </c>
      <c r="D216" s="41">
        <v>263</v>
      </c>
      <c r="E216" s="42">
        <v>263.80769230769198</v>
      </c>
      <c r="F216" s="41" t="s">
        <v>46</v>
      </c>
      <c r="G216" s="38">
        <f t="shared" si="3"/>
        <v>0.80769230769197975</v>
      </c>
      <c r="H216" s="43">
        <v>0.96687950704872005</v>
      </c>
      <c r="I216" s="43">
        <v>3.0540203311591201</v>
      </c>
      <c r="J216" s="43">
        <v>0.9</v>
      </c>
      <c r="K216" s="43">
        <v>0.93398543454062799</v>
      </c>
      <c r="L216" s="38">
        <v>370.3</v>
      </c>
      <c r="M216" s="38">
        <v>4.0000000000000001E-3</v>
      </c>
      <c r="N216" s="38">
        <v>92575</v>
      </c>
    </row>
    <row r="217" spans="1:14" ht="22.5" customHeight="1">
      <c r="A217" s="41" t="s">
        <v>455</v>
      </c>
      <c r="B217" s="41"/>
      <c r="C217" s="41" t="s">
        <v>456</v>
      </c>
      <c r="D217" s="41">
        <v>225</v>
      </c>
      <c r="E217" s="42">
        <v>194.92307692307699</v>
      </c>
      <c r="F217" s="41" t="s">
        <v>46</v>
      </c>
      <c r="G217" s="38">
        <f t="shared" si="3"/>
        <v>-30.076923076923009</v>
      </c>
      <c r="H217" s="43">
        <v>0.99336979437669604</v>
      </c>
      <c r="I217" s="43">
        <v>7.2333872149135603</v>
      </c>
      <c r="J217" s="43">
        <v>0.9</v>
      </c>
      <c r="K217" s="43">
        <v>0.96723096698239397</v>
      </c>
      <c r="L217" s="38">
        <v>72.900000000000006</v>
      </c>
      <c r="M217" s="38">
        <v>4.0000000000000001E-3</v>
      </c>
      <c r="N217" s="38">
        <v>18225</v>
      </c>
    </row>
    <row r="218" spans="1:14" ht="22.5" customHeight="1">
      <c r="A218" s="41" t="s">
        <v>457</v>
      </c>
      <c r="B218" s="41"/>
      <c r="C218" s="41" t="s">
        <v>458</v>
      </c>
      <c r="D218" s="41">
        <v>158</v>
      </c>
      <c r="E218" s="42">
        <v>130.769230769231</v>
      </c>
      <c r="F218" s="41" t="s">
        <v>32</v>
      </c>
      <c r="G218" s="38">
        <f t="shared" si="3"/>
        <v>-27.230769230768999</v>
      </c>
      <c r="H218" s="43">
        <v>0.61655135628202895</v>
      </c>
      <c r="I218" s="43">
        <v>1.6067113779850499</v>
      </c>
      <c r="J218" s="43">
        <v>2</v>
      </c>
      <c r="K218" s="43">
        <v>0.99818365099760797</v>
      </c>
      <c r="L218" s="38">
        <v>187</v>
      </c>
      <c r="M218" s="38">
        <v>4.0000000000000001E-3</v>
      </c>
      <c r="N218" s="38">
        <v>46750</v>
      </c>
    </row>
  </sheetData>
  <autoFilter ref="A4:K218" xr:uid="{00000000-0009-0000-0000-000000000000}"/>
  <mergeCells count="3">
    <mergeCell ref="A1:F1"/>
    <mergeCell ref="J1:K1"/>
    <mergeCell ref="L1:N1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zoomScale="129" zoomScaleNormal="129" workbookViewId="0">
      <selection activeCell="H4" sqref="H4"/>
    </sheetView>
  </sheetViews>
  <sheetFormatPr defaultColWidth="8.77734375" defaultRowHeight="15.6"/>
  <cols>
    <col min="1" max="1" width="11.77734375" style="2" customWidth="1"/>
    <col min="2" max="2" width="20.33203125" style="2" customWidth="1"/>
    <col min="3" max="3" width="9" style="2" customWidth="1"/>
    <col min="4" max="4" width="9.33203125" style="3" customWidth="1"/>
    <col min="5" max="6" width="11" style="2" customWidth="1"/>
    <col min="7" max="7" width="9" style="2" customWidth="1"/>
    <col min="8" max="8" width="13" style="4" customWidth="1"/>
    <col min="9" max="10" width="15" style="4" customWidth="1"/>
    <col min="11" max="11" width="13.77734375" customWidth="1"/>
  </cols>
  <sheetData>
    <row r="1" spans="1:12" ht="24.45" customHeight="1">
      <c r="A1" s="48" t="s">
        <v>459</v>
      </c>
      <c r="B1" s="48"/>
      <c r="C1" s="48"/>
      <c r="D1" s="48"/>
      <c r="E1" s="48"/>
      <c r="F1" s="48"/>
      <c r="G1" s="48"/>
      <c r="H1" s="5"/>
      <c r="I1" s="49" t="s">
        <v>460</v>
      </c>
      <c r="J1" s="49"/>
      <c r="K1" s="49"/>
    </row>
    <row r="2" spans="1:12" s="1" customFormat="1" ht="36" customHeight="1">
      <c r="A2" s="6" t="s">
        <v>461</v>
      </c>
      <c r="B2" s="7" t="s">
        <v>462</v>
      </c>
      <c r="C2" s="7" t="s">
        <v>463</v>
      </c>
      <c r="D2" s="7" t="s">
        <v>1</v>
      </c>
      <c r="E2" s="7" t="s">
        <v>2</v>
      </c>
      <c r="F2" s="7" t="s">
        <v>3</v>
      </c>
      <c r="G2" s="8" t="s">
        <v>4</v>
      </c>
      <c r="H2" s="9"/>
      <c r="I2" s="6" t="s">
        <v>9</v>
      </c>
      <c r="J2" s="7" t="s">
        <v>10</v>
      </c>
      <c r="K2" s="8" t="s">
        <v>11</v>
      </c>
      <c r="L2" s="10"/>
    </row>
    <row r="3" spans="1:12" s="1" customFormat="1" ht="36" customHeight="1">
      <c r="A3" s="11" t="s">
        <v>464</v>
      </c>
      <c r="B3" s="12">
        <v>6</v>
      </c>
      <c r="C3" s="13" t="s">
        <v>6</v>
      </c>
      <c r="D3" s="12">
        <v>3</v>
      </c>
      <c r="E3" s="12">
        <v>0.3</v>
      </c>
      <c r="F3" s="12">
        <v>0.3</v>
      </c>
      <c r="G3" s="14">
        <v>0.3</v>
      </c>
      <c r="H3" s="15"/>
      <c r="I3" s="16" t="e">
        <f>红色系统输入黄色人工调整!#REF!</f>
        <v>#REF!</v>
      </c>
      <c r="J3" s="17" t="e">
        <f>红色系统输入黄色人工调整!#REF!</f>
        <v>#REF!</v>
      </c>
      <c r="K3" s="18" t="e">
        <f>红色系统输入黄色人工调整!#REF!</f>
        <v>#REF!</v>
      </c>
      <c r="L3" s="10"/>
    </row>
    <row r="4" spans="1:12" s="1" customFormat="1" ht="36" customHeight="1">
      <c r="A4" s="19" t="s">
        <v>465</v>
      </c>
      <c r="B4" s="20">
        <v>3</v>
      </c>
      <c r="C4" s="21" t="s">
        <v>7</v>
      </c>
      <c r="D4" s="20">
        <v>3</v>
      </c>
      <c r="E4" s="20">
        <f>E3</f>
        <v>0.3</v>
      </c>
      <c r="F4" s="20">
        <f>F3</f>
        <v>0.3</v>
      </c>
      <c r="G4" s="22">
        <f>G3</f>
        <v>0.3</v>
      </c>
      <c r="H4" s="15"/>
      <c r="I4" s="15"/>
      <c r="J4" s="15"/>
      <c r="K4" s="15"/>
      <c r="L4" s="10"/>
    </row>
    <row r="5" spans="1:12" s="1" customFormat="1" ht="24.45" customHeight="1">
      <c r="A5" s="48" t="s">
        <v>466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10"/>
    </row>
    <row r="6" spans="1:12" s="1" customFormat="1" ht="18.45" customHeight="1">
      <c r="A6" s="6" t="s">
        <v>467</v>
      </c>
      <c r="B6" s="7" t="s">
        <v>468</v>
      </c>
      <c r="C6" s="7" t="s">
        <v>15</v>
      </c>
      <c r="D6" s="7" t="s">
        <v>469</v>
      </c>
      <c r="E6" s="7" t="s">
        <v>22</v>
      </c>
      <c r="F6" s="7" t="s">
        <v>23</v>
      </c>
      <c r="G6" s="7" t="s">
        <v>470</v>
      </c>
      <c r="H6" s="7" t="s">
        <v>24</v>
      </c>
      <c r="I6" s="7" t="s">
        <v>25</v>
      </c>
      <c r="J6" s="7" t="s">
        <v>26</v>
      </c>
      <c r="K6" s="8" t="s">
        <v>11</v>
      </c>
      <c r="L6" s="15"/>
    </row>
    <row r="7" spans="1:12" s="1" customFormat="1" ht="18.45" customHeight="1">
      <c r="A7" s="11" t="e" cm="1">
        <f t="array" aca="1" ref="A7:A11" ca="1">_xlfn._xlws.FILTER(红色系统输入黄色人工调整!A5:A218,红色系统输入黄色人工调整!B5:B218=1)</f>
        <v>#NAME?</v>
      </c>
      <c r="B7" s="13" t="e" cm="1">
        <f t="array" aca="1" ref="B7:B11" ca="1">_xlfn._xlws.FILTER(红色系统输入黄色人工调整!C5:C218,红色系统输入黄色人工调整!B5:B218=1)</f>
        <v>#NAME?</v>
      </c>
      <c r="C7" s="13" t="e" cm="1">
        <f t="array" aca="1" ref="C7:D11" ca="1">_xlfn._xlws.FILTER(红色系统输入黄色人工调整!D5:E218,红色系统输入黄色人工调整!B5:B218=1)</f>
        <v>#NAME?</v>
      </c>
      <c r="D7" s="23" t="e">
        <f ca="1"/>
        <v>#NAME?</v>
      </c>
      <c r="E7" s="13" t="e" cm="1">
        <f t="array" aca="1" ref="E7:F11" ca="1">_xlfn._xlws.FILTER(红色系统输入黄色人工调整!#REF!,红色系统输入黄色人工调整!B5:B218=1)</f>
        <v>#NAME?</v>
      </c>
      <c r="F7" s="13" t="e">
        <f ca="1"/>
        <v>#NAME?</v>
      </c>
      <c r="G7" s="13" t="e">
        <f ca="1">IF(E7="","",F7-E7)</f>
        <v>#NAME?</v>
      </c>
      <c r="H7" s="13" t="e" cm="1">
        <f t="array" aca="1" ref="H7:H11" ca="1">_xlfn._xlws.FILTER(红色系统输入黄色人工调整!#REF!,红色系统输入黄色人工调整!B5:B218=1)</f>
        <v>#NAME?</v>
      </c>
      <c r="I7" s="24" t="e" cm="1">
        <f t="array" aca="1" ref="I7:K11" ca="1">_xlfn._xlws.FILTER(红色系统输入黄色人工调整!#REF!,红色系统输入黄色人工调整!B5:B218=1)</f>
        <v>#NAME?</v>
      </c>
      <c r="J7" s="24" t="e">
        <f ca="1"/>
        <v>#NAME?</v>
      </c>
      <c r="K7" s="25" t="e">
        <f ca="1"/>
        <v>#NAME?</v>
      </c>
      <c r="L7" s="15"/>
    </row>
    <row r="8" spans="1:12" s="2" customFormat="1" ht="18.45" customHeight="1">
      <c r="A8" s="26" t="e">
        <f ca="1"/>
        <v>#NAME?</v>
      </c>
      <c r="B8" s="27" t="e">
        <f ca="1"/>
        <v>#NAME?</v>
      </c>
      <c r="C8" s="27" t="e">
        <f ca="1"/>
        <v>#NAME?</v>
      </c>
      <c r="D8" s="28" t="e">
        <f ca="1"/>
        <v>#NAME?</v>
      </c>
      <c r="E8" s="27" t="e">
        <f ca="1"/>
        <v>#NAME?</v>
      </c>
      <c r="F8" s="27" t="e">
        <f ca="1"/>
        <v>#NAME?</v>
      </c>
      <c r="G8" s="27" t="e">
        <f t="shared" ref="G8:G26" ca="1" si="0">IF(E8="","",F8-E8)</f>
        <v>#NAME?</v>
      </c>
      <c r="H8" s="27" t="e">
        <f ca="1"/>
        <v>#NAME?</v>
      </c>
      <c r="I8" s="29" t="e">
        <f ca="1"/>
        <v>#NAME?</v>
      </c>
      <c r="J8" s="29" t="e">
        <f ca="1"/>
        <v>#NAME?</v>
      </c>
      <c r="K8" s="30" t="e">
        <f ca="1"/>
        <v>#NAME?</v>
      </c>
      <c r="L8" s="31"/>
    </row>
    <row r="9" spans="1:12" s="2" customFormat="1" ht="18.45" customHeight="1">
      <c r="A9" s="26" t="e">
        <f ca="1"/>
        <v>#NAME?</v>
      </c>
      <c r="B9" s="27" t="e">
        <f ca="1"/>
        <v>#NAME?</v>
      </c>
      <c r="C9" s="27" t="e">
        <f ca="1"/>
        <v>#NAME?</v>
      </c>
      <c r="D9" s="28" t="e">
        <f ca="1"/>
        <v>#NAME?</v>
      </c>
      <c r="E9" s="27" t="e">
        <f ca="1"/>
        <v>#NAME?</v>
      </c>
      <c r="F9" s="27" t="e">
        <f ca="1"/>
        <v>#NAME?</v>
      </c>
      <c r="G9" s="27" t="e">
        <f t="shared" ca="1" si="0"/>
        <v>#NAME?</v>
      </c>
      <c r="H9" s="27" t="e">
        <f ca="1"/>
        <v>#NAME?</v>
      </c>
      <c r="I9" s="29" t="e">
        <f ca="1"/>
        <v>#NAME?</v>
      </c>
      <c r="J9" s="29" t="e">
        <f ca="1"/>
        <v>#NAME?</v>
      </c>
      <c r="K9" s="30" t="e">
        <f ca="1"/>
        <v>#NAME?</v>
      </c>
      <c r="L9" s="31"/>
    </row>
    <row r="10" spans="1:12" s="2" customFormat="1" ht="18.45" customHeight="1">
      <c r="A10" s="26" t="e">
        <f ca="1"/>
        <v>#NAME?</v>
      </c>
      <c r="B10" s="27" t="e">
        <f ca="1"/>
        <v>#NAME?</v>
      </c>
      <c r="C10" s="27" t="e">
        <f ca="1"/>
        <v>#NAME?</v>
      </c>
      <c r="D10" s="28" t="e">
        <f ca="1"/>
        <v>#NAME?</v>
      </c>
      <c r="E10" s="27" t="e">
        <f ca="1"/>
        <v>#NAME?</v>
      </c>
      <c r="F10" s="27" t="e">
        <f ca="1"/>
        <v>#NAME?</v>
      </c>
      <c r="G10" s="27" t="e">
        <f t="shared" ca="1" si="0"/>
        <v>#NAME?</v>
      </c>
      <c r="H10" s="27" t="e">
        <f ca="1"/>
        <v>#NAME?</v>
      </c>
      <c r="I10" s="29" t="e">
        <f ca="1"/>
        <v>#NAME?</v>
      </c>
      <c r="J10" s="29" t="e">
        <f ca="1"/>
        <v>#NAME?</v>
      </c>
      <c r="K10" s="30" t="e">
        <f ca="1"/>
        <v>#NAME?</v>
      </c>
      <c r="L10" s="31"/>
    </row>
    <row r="11" spans="1:12" s="2" customFormat="1" ht="18.45" customHeight="1">
      <c r="A11" s="19" t="e">
        <f ca="1"/>
        <v>#NAME?</v>
      </c>
      <c r="B11" s="21" t="e">
        <f ca="1"/>
        <v>#NAME?</v>
      </c>
      <c r="C11" s="21" t="e">
        <f ca="1"/>
        <v>#NAME?</v>
      </c>
      <c r="D11" s="32" t="e">
        <f ca="1"/>
        <v>#NAME?</v>
      </c>
      <c r="E11" s="21" t="e">
        <f ca="1"/>
        <v>#NAME?</v>
      </c>
      <c r="F11" s="21" t="e">
        <f ca="1"/>
        <v>#NAME?</v>
      </c>
      <c r="G11" s="21" t="e">
        <f t="shared" ca="1" si="0"/>
        <v>#NAME?</v>
      </c>
      <c r="H11" s="21" t="e">
        <f ca="1"/>
        <v>#NAME?</v>
      </c>
      <c r="I11" s="33" t="e">
        <f ca="1"/>
        <v>#NAME?</v>
      </c>
      <c r="J11" s="33" t="e">
        <f ca="1"/>
        <v>#NAME?</v>
      </c>
      <c r="K11" s="34" t="e">
        <f ca="1"/>
        <v>#NAME?</v>
      </c>
      <c r="L11" s="31"/>
    </row>
    <row r="12" spans="1:12" s="2" customFormat="1" ht="18.45" customHeight="1">
      <c r="D12" s="3"/>
      <c r="G12" s="13" t="str">
        <f t="shared" si="0"/>
        <v/>
      </c>
      <c r="H12" s="4"/>
      <c r="I12" s="4"/>
      <c r="J12" s="4"/>
      <c r="K12" s="31"/>
    </row>
    <row r="13" spans="1:12" s="2" customFormat="1" ht="22.5" customHeight="1">
      <c r="D13" s="3"/>
      <c r="G13" s="13" t="str">
        <f t="shared" si="0"/>
        <v/>
      </c>
      <c r="H13" s="4"/>
      <c r="I13" s="4"/>
      <c r="J13" s="4"/>
    </row>
    <row r="14" spans="1:12" s="2" customFormat="1" ht="22.5" customHeight="1">
      <c r="D14" s="3"/>
      <c r="G14" s="13" t="str">
        <f t="shared" si="0"/>
        <v/>
      </c>
      <c r="H14" s="4"/>
      <c r="I14" s="4"/>
      <c r="J14" s="4"/>
    </row>
    <row r="15" spans="1:12" s="2" customFormat="1" ht="22.5" customHeight="1">
      <c r="D15" s="3"/>
      <c r="G15" s="13" t="str">
        <f t="shared" si="0"/>
        <v/>
      </c>
      <c r="H15" s="4"/>
      <c r="I15" s="4"/>
      <c r="J15" s="4"/>
    </row>
    <row r="16" spans="1:12" s="2" customFormat="1" ht="22.5" customHeight="1">
      <c r="D16" s="3"/>
      <c r="G16" s="13" t="str">
        <f t="shared" si="0"/>
        <v/>
      </c>
      <c r="H16" s="4"/>
      <c r="I16" s="4"/>
      <c r="J16" s="4"/>
    </row>
    <row r="17" spans="4:10" s="2" customFormat="1" ht="22.5" customHeight="1">
      <c r="D17" s="3"/>
      <c r="G17" s="13" t="str">
        <f t="shared" si="0"/>
        <v/>
      </c>
      <c r="H17" s="4"/>
      <c r="I17" s="4"/>
      <c r="J17" s="4"/>
    </row>
    <row r="18" spans="4:10" s="2" customFormat="1" ht="22.5" customHeight="1">
      <c r="D18" s="3"/>
      <c r="G18" s="13" t="str">
        <f t="shared" si="0"/>
        <v/>
      </c>
      <c r="H18" s="4"/>
      <c r="I18" s="4"/>
      <c r="J18" s="4"/>
    </row>
    <row r="19" spans="4:10" s="2" customFormat="1" ht="22.5" customHeight="1">
      <c r="D19" s="3"/>
      <c r="G19" s="13" t="str">
        <f t="shared" si="0"/>
        <v/>
      </c>
      <c r="H19" s="4"/>
      <c r="I19" s="4"/>
      <c r="J19" s="4"/>
    </row>
    <row r="20" spans="4:10" s="2" customFormat="1" ht="22.5" customHeight="1">
      <c r="D20" s="3"/>
      <c r="G20" s="13" t="str">
        <f t="shared" si="0"/>
        <v/>
      </c>
      <c r="H20" s="4"/>
      <c r="I20" s="4"/>
      <c r="J20" s="4"/>
    </row>
    <row r="21" spans="4:10" s="2" customFormat="1" ht="22.5" customHeight="1">
      <c r="D21" s="3"/>
      <c r="G21" s="13" t="str">
        <f t="shared" si="0"/>
        <v/>
      </c>
      <c r="H21" s="4"/>
      <c r="I21" s="4"/>
      <c r="J21" s="4"/>
    </row>
    <row r="22" spans="4:10" s="2" customFormat="1" ht="22.5" customHeight="1">
      <c r="D22" s="3"/>
      <c r="G22" s="13" t="str">
        <f t="shared" si="0"/>
        <v/>
      </c>
      <c r="H22" s="4"/>
      <c r="I22" s="4"/>
      <c r="J22" s="4"/>
    </row>
    <row r="23" spans="4:10" s="2" customFormat="1" ht="22.5" customHeight="1">
      <c r="D23" s="3"/>
      <c r="G23" s="13" t="str">
        <f t="shared" si="0"/>
        <v/>
      </c>
      <c r="H23" s="4"/>
      <c r="I23" s="4"/>
      <c r="J23" s="4"/>
    </row>
    <row r="24" spans="4:10" s="2" customFormat="1" ht="22.5" customHeight="1">
      <c r="D24" s="3"/>
      <c r="G24" s="13" t="str">
        <f t="shared" si="0"/>
        <v/>
      </c>
      <c r="H24" s="4"/>
      <c r="I24" s="4"/>
      <c r="J24" s="4"/>
    </row>
    <row r="25" spans="4:10" s="2" customFormat="1" ht="22.5" customHeight="1">
      <c r="D25" s="3"/>
      <c r="G25" s="13" t="str">
        <f t="shared" si="0"/>
        <v/>
      </c>
      <c r="H25" s="4"/>
      <c r="I25" s="4"/>
      <c r="J25" s="4"/>
    </row>
    <row r="26" spans="4:10" s="2" customFormat="1" ht="22.5" customHeight="1">
      <c r="D26" s="3"/>
      <c r="G26" s="13" t="str">
        <f t="shared" si="0"/>
        <v/>
      </c>
      <c r="H26" s="4"/>
      <c r="I26" s="4"/>
      <c r="J26" s="4"/>
    </row>
    <row r="27" spans="4:10" s="2" customFormat="1" ht="22.5" customHeight="1">
      <c r="D27" s="3"/>
      <c r="H27" s="4"/>
      <c r="I27" s="4"/>
      <c r="J27" s="4"/>
    </row>
    <row r="28" spans="4:10" s="2" customFormat="1" ht="22.5" customHeight="1">
      <c r="D28" s="3"/>
      <c r="H28" s="4"/>
      <c r="I28" s="4"/>
      <c r="J28" s="4"/>
    </row>
    <row r="29" spans="4:10" s="2" customFormat="1" ht="22.5" customHeight="1">
      <c r="D29" s="3"/>
      <c r="H29" s="4"/>
      <c r="I29" s="4"/>
      <c r="J29" s="4"/>
    </row>
    <row r="30" spans="4:10" s="2" customFormat="1" ht="22.5" customHeight="1">
      <c r="D30" s="3"/>
      <c r="H30" s="4"/>
      <c r="I30" s="4"/>
      <c r="J30" s="4"/>
    </row>
    <row r="31" spans="4:10" s="2" customFormat="1" ht="22.5" customHeight="1">
      <c r="D31" s="3"/>
      <c r="H31" s="4"/>
      <c r="I31" s="4"/>
      <c r="J31" s="4"/>
    </row>
    <row r="32" spans="4:10" s="2" customFormat="1" ht="22.5" customHeight="1">
      <c r="D32" s="3"/>
      <c r="H32" s="4"/>
      <c r="I32" s="4"/>
      <c r="J32" s="4"/>
    </row>
    <row r="33" spans="4:10" s="2" customFormat="1" ht="22.5" customHeight="1">
      <c r="D33" s="3"/>
      <c r="H33" s="4"/>
      <c r="I33" s="4"/>
      <c r="J33" s="4"/>
    </row>
    <row r="34" spans="4:10" s="2" customFormat="1" ht="22.5" customHeight="1">
      <c r="D34" s="3"/>
      <c r="H34" s="4"/>
      <c r="I34" s="4"/>
      <c r="J34" s="4"/>
    </row>
    <row r="35" spans="4:10" s="2" customFormat="1" ht="22.5" customHeight="1">
      <c r="D35" s="3"/>
      <c r="H35" s="4"/>
      <c r="I35" s="4"/>
      <c r="J35" s="4"/>
    </row>
    <row r="36" spans="4:10" s="2" customFormat="1" ht="22.5" customHeight="1">
      <c r="D36" s="3"/>
      <c r="H36" s="4"/>
      <c r="I36" s="4"/>
      <c r="J36" s="4"/>
    </row>
    <row r="37" spans="4:10" s="2" customFormat="1" ht="22.5" customHeight="1">
      <c r="D37" s="3"/>
      <c r="H37" s="4"/>
      <c r="I37" s="4"/>
      <c r="J37" s="4"/>
    </row>
    <row r="38" spans="4:10" s="2" customFormat="1" ht="22.5" customHeight="1">
      <c r="D38" s="3"/>
      <c r="H38" s="4"/>
      <c r="I38" s="4"/>
      <c r="J38" s="4"/>
    </row>
    <row r="39" spans="4:10" s="2" customFormat="1" ht="22.5" customHeight="1">
      <c r="D39" s="3"/>
      <c r="H39" s="4"/>
      <c r="I39" s="4"/>
      <c r="J39" s="4"/>
    </row>
    <row r="40" spans="4:10" s="2" customFormat="1" ht="22.5" customHeight="1">
      <c r="D40" s="3"/>
      <c r="H40" s="4"/>
      <c r="I40" s="4"/>
      <c r="J40" s="4"/>
    </row>
    <row r="41" spans="4:10" s="2" customFormat="1" ht="22.5" customHeight="1">
      <c r="D41" s="3"/>
      <c r="H41" s="4"/>
      <c r="I41" s="4"/>
      <c r="J41" s="4"/>
    </row>
    <row r="42" spans="4:10" s="2" customFormat="1" ht="22.5" customHeight="1">
      <c r="D42" s="3"/>
      <c r="H42" s="4"/>
      <c r="I42" s="4"/>
      <c r="J42" s="4"/>
    </row>
    <row r="43" spans="4:10" s="2" customFormat="1" ht="22.5" customHeight="1">
      <c r="D43" s="3"/>
      <c r="H43" s="4"/>
      <c r="I43" s="4"/>
      <c r="J43" s="4"/>
    </row>
  </sheetData>
  <mergeCells count="3">
    <mergeCell ref="A1:G1"/>
    <mergeCell ref="I1:K1"/>
    <mergeCell ref="A5:K5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红色系统输入黄色人工调整</vt:lpstr>
      <vt:lpstr>所选品规列表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15298</dc:creator>
  <cp:lastModifiedBy>xl w</cp:lastModifiedBy>
  <dcterms:created xsi:type="dcterms:W3CDTF">2026-03-20T05:37:00Z</dcterms:created>
  <dcterms:modified xsi:type="dcterms:W3CDTF">2026-03-25T08:20:31Z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71DD6ADBD15A475798E8983F4C53839F_11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